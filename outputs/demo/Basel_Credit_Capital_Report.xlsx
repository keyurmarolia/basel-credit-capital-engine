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tables/table8.xml" ContentType="application/vnd.openxmlformats-officedocument.spreadsheetml.table+xml"/>
  <Override PartName="/xl/worksheets/sheet8.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tables/table9.xml" ContentType="application/vnd.openxmlformats-officedocument.spreadsheetml.table+xml"/>
  <Override PartName="/xl/tables/table10.xml" ContentType="application/vnd.openxmlformats-officedocument.spreadsheetml.table+xml"/>
  <Override PartName="/xl/worksheets/sheet9.xml" ContentType="application/vnd.openxmlformats-officedocument.spreadsheetml.worksheet+xml"/>
  <Override PartName="/xl/drawings/drawing6.xml" ContentType="application/vnd.openxmlformats-officedocument.drawing+xml"/>
  <Override PartName="/xl/drawings/charts/chart7.xml" ContentType="application/vnd.openxmlformats-officedocument.drawingml.chart+xml"/>
  <Override PartName="/xl/tables/table1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076ec5057144752" /></Relationships>
</file>

<file path=xl/workbook.xml><?xml version="1.0" encoding="utf-8"?>
<x:workbook xmlns:x="http://schemas.openxmlformats.org/spreadsheetml/2006/main">
  <x:sheets>
    <x:sheet xmlns:r="http://schemas.openxmlformats.org/officeDocument/2006/relationships" name="01_Executive_Summary" sheetId="1" r:id="R3f41d6e6a8e94bec"/>
    <x:sheet xmlns:r="http://schemas.openxmlformats.org/officeDocument/2006/relationships" name="02_Portfolio_Profile" sheetId="2" r:id="Ra4f0d342f0ca41b5"/>
    <x:sheet xmlns:r="http://schemas.openxmlformats.org/officeDocument/2006/relationships" name="03_SA_RWA" sheetId="3" r:id="R7c37d60752eb45bd"/>
    <x:sheet xmlns:r="http://schemas.openxmlformats.org/officeDocument/2006/relationships" name="04_IRB_RWA" sheetId="4" r:id="Rfe876b8dafb245ac"/>
    <x:sheet xmlns:r="http://schemas.openxmlformats.org/officeDocument/2006/relationships" name="05_SA_vs_IRB" sheetId="5" r:id="Ree3c5c4f0d1e4059"/>
    <x:sheet xmlns:r="http://schemas.openxmlformats.org/officeDocument/2006/relationships" name="06_Concentration" sheetId="6" r:id="R7ec7de8b164048ff"/>
    <x:sheet xmlns:r="http://schemas.openxmlformats.org/officeDocument/2006/relationships" name="07_RWA_Bridge" sheetId="7" r:id="R4a1869b70a7c4bda"/>
    <x:sheet xmlns:r="http://schemas.openxmlformats.org/officeDocument/2006/relationships" name="08_Stress_Test" sheetId="8" r:id="Rdb63ea1b9f504d05"/>
    <x:sheet xmlns:r="http://schemas.openxmlformats.org/officeDocument/2006/relationships" name="09_Capital_Adequacy" sheetId="9" r:id="Rf5c0e7d22ab2454c"/>
    <x:sheet xmlns:r="http://schemas.openxmlformats.org/officeDocument/2006/relationships" name="10_Reconciliation" sheetId="10" r:id="Re83e9d0b114c4b6a"/>
    <x:sheet xmlns:r="http://schemas.openxmlformats.org/officeDocument/2006/relationships" name="11_Methodology" sheetId="11" r:id="R809e36bffe274b5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Red](#,##0.0);-"/>
    <x:numFmt numFmtId="202" formatCode="0.0%;[Red](0.0%);-"/>
    <x:numFmt numFmtId="203" formatCode="0.0000"/>
    <x:numFmt numFmtId="204" formatCode="0.00x"/>
    <x:numFmt numFmtId="205" formatCode="0.0000%"/>
  </x:numFmts>
  <x:fonts count="20">
    <x:font>
      <x:sz val="11"/>
      <x:name val="Carlito"/>
    </x:font>
    <x:font>
      <x:b/>
      <x:sz val="18"/>
      <x:color rgb="FFFFFFFF"/>
      <x:name val="Carlito"/>
    </x:font>
    <x:font>
      <x:i/>
      <x:sz val="10"/>
      <x:color rgb="FF0B3A53"/>
      <x:name val="Carlito"/>
    </x:font>
    <x:font>
      <x:b/>
      <x:sz val="11"/>
      <x:color rgb="FFFFFFFF"/>
      <x:name val="Carlito"/>
    </x:font>
    <x:font>
      <x:sz val="9"/>
      <x:color rgb="FF000000"/>
      <x:name val="Carlito"/>
    </x:font>
    <x:font>
      <x:b/>
      <x:sz val="11"/>
      <x:name val="Carlito"/>
    </x:font>
    <x:font>
      <x:i/>
      <x:sz val="11"/>
      <x:color rgb="FF0B3A53"/>
      <x:name val="Carlito"/>
    </x:font>
    <x:font>
      <x:sz val="11"/>
      <x:color rgb="FF008000"/>
      <x:name val="Carlito"/>
    </x:font>
    <x:font>
      <x:b/>
      <x:sz val="14"/>
      <x:color rgb="FF1E8449"/>
      <x:name val="Carlito"/>
    </x:font>
    <x:font>
      <x:b/>
      <x:sz val="12"/>
      <x:color rgb="FF008000"/>
      <x:name val="Carlito"/>
    </x:font>
    <x:font>
      <x:b/>
      <x:sz val="18"/>
      <x:color rgb="FFFFFFFF"/>
      <x:name val="Arial"/>
    </x:font>
    <x:font>
      <x:i/>
      <x:sz val="10"/>
      <x:color rgb="FF0B3A53"/>
      <x:name val="Arial"/>
    </x:font>
    <x:font>
      <x:sz val="11"/>
      <x:name val="Arial"/>
    </x:font>
    <x:font>
      <x:b/>
      <x:sz val="11"/>
      <x:color rgb="FFFFFFFF"/>
      <x:name val="Arial"/>
    </x:font>
    <x:font>
      <x:b/>
      <x:sz val="12"/>
      <x:color rgb="FF008000"/>
      <x:name val="Arial"/>
    </x:font>
    <x:font>
      <x:sz val="11"/>
      <x:color rgb="FF008000"/>
      <x:name val="Arial"/>
    </x:font>
    <x:font>
      <x:sz val="9"/>
      <x:color rgb="FF000000"/>
      <x:name val="Arial"/>
    </x:font>
    <x:font>
      <x:b/>
      <x:sz val="11"/>
      <x:name val="Arial"/>
    </x:font>
    <x:font>
      <x:i/>
      <x:sz val="11"/>
      <x:color rgb="FF0B3A53"/>
      <x:name val="Arial"/>
    </x:font>
    <x:font>
      <x:b/>
      <x:sz val="14"/>
      <x:color rgb="FF1E8449"/>
      <x:name val="Arial"/>
    </x:font>
  </x:fonts>
  <x:fills count="8">
    <x:fill>
      <x:patternFill patternType="none"/>
    </x:fill>
    <x:fill>
      <x:patternFill patternType="gray125"/>
    </x:fill>
    <x:fill>
      <x:patternFill patternType="solid">
        <x:fgColor rgb="FF0B3A53"/>
      </x:patternFill>
    </x:fill>
    <x:fill>
      <x:patternFill patternType="solid">
        <x:fgColor rgb="FFEAF2F8"/>
      </x:patternFill>
    </x:fill>
    <x:fill>
      <x:patternFill patternType="solid">
        <x:fgColor rgb="FF1F77B4"/>
      </x:patternFill>
    </x:fill>
    <x:fill>
      <x:patternFill patternType="solid">
        <x:fgColor rgb="FFF4F6F7"/>
      </x:patternFill>
    </x:fill>
    <x:fill>
      <x:patternFill patternType="solid">
        <x:fgColor rgb="FFD5F5E3"/>
      </x:patternFill>
    </x:fill>
    <x:fill>
      <x:patternFill patternType="solid">
        <x:fgColor rgb="FF2A9D8F"/>
      </x:patternFill>
    </x:fill>
  </x:fills>
  <x:borders count="8">
    <x:border/>
    <x:border>
      <x:left style="thin">
        <x:color rgb="FF0B3A53"/>
      </x:left>
      <x:top style="thin">
        <x:color rgb="FF0B3A53"/>
      </x:top>
      <x:bottom style="thin">
        <x:color rgb="FF0B3A53"/>
      </x:bottom>
    </x:border>
    <x:border>
      <x:right style="thin">
        <x:color rgb="FF0B3A53"/>
      </x:right>
      <x:top style="thin">
        <x:color rgb="FF0B3A53"/>
      </x:top>
      <x:bottom style="thin">
        <x:color rgb="FF0B3A53"/>
      </x:bottom>
    </x:border>
    <x:border>
      <x:bottom style="thin">
        <x:color rgb="FFD9E1E8"/>
      </x:bottom>
    </x:border>
    <x:border>
      <x:top style="thin">
        <x:color rgb="FFD9E1E8"/>
      </x:top>
      <x:bottom style="thin">
        <x:color rgb="FFD9E1E8"/>
      </x:bottom>
    </x:border>
    <x:border>
      <x:top style="thin">
        <x:color rgb="FFD9E1E8"/>
      </x:top>
    </x:border>
    <x:border>
      <x:top style="thin">
        <x:color rgb="FF0B3A53"/>
      </x:top>
      <x:bottom style="thin">
        <x:color rgb="FF0B3A53"/>
      </x:bottom>
    </x:border>
    <x:border>
      <x:top style="double">
        <x:color rgb="FF0B3A53"/>
      </x:top>
    </x:border>
  </x:borders>
  <x:cellStyleXfs count="1">
    <x:xf numFmtId="0" fontId="0" fillId="0" borderId="0"/>
  </x:cellStyleXfs>
  <x:cellXfs count="17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3" fillId="4" borderId="6" xfId="0" applyNumberFormat="1" applyFont="1" applyFill="1" applyBorder="1"/>
    <x:xf numFmtId="0" fontId="3" fillId="4" borderId="6" xfId="0" applyNumberFormat="1" applyFont="1" applyFill="1" applyBorder="1" applyAlignment="1">
      <x:alignment wrapText="1"/>
    </x:xf>
    <x:xf numFmtId="0" fontId="3" fillId="4" borderId="6" xfId="0" applyNumberFormat="1" applyFont="1" applyFill="1" applyBorder="1" applyAlignment="1">
      <x:alignment horizontal="center" wrapText="1"/>
    </x:xf>
    <x:xf numFmtId="0" fontId="3" fillId="4" borderId="6" xfId="0" applyNumberFormat="1" applyFont="1" applyFill="1" applyBorder="1" applyAlignment="1">
      <x:alignment horizontal="center" vertical="center" wrapText="1"/>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200" fontId="4" fillId="0" borderId="5" xfId="0" applyNumberFormat="1" applyFont="1" applyFill="1" applyBorder="1" applyAlignment="1">
      <x:alignment vertical="center"/>
    </x:xf>
    <x:xf numFmtId="200" fontId="0" fillId="0" borderId="0" xfId="0" applyNumberFormat="1" applyFont="1" applyFill="1" applyBorder="1"/>
    <x:xf numFmtId="201" fontId="4" fillId="0" borderId="4" xfId="0" applyNumberFormat="1" applyFont="1" applyFill="1" applyBorder="1" applyAlignment="1">
      <x:alignment vertical="center"/>
    </x:xf>
    <x:xf numFmtId="201" fontId="4" fillId="0" borderId="3" xfId="0" applyNumberFormat="1" applyFont="1" applyFill="1" applyBorder="1" applyAlignment="1">
      <x:alignment vertical="center"/>
    </x:xf>
    <x:xf numFmtId="201" fontId="4" fillId="0" borderId="5" xfId="0" applyNumberFormat="1" applyFont="1" applyFill="1" applyBorder="1" applyAlignment="1">
      <x:alignment vertical="center"/>
    </x:xf>
    <x:xf numFmtId="201" fontId="0" fillId="0" borderId="0" xfId="0" applyNumberFormat="1" applyFont="1" applyFill="1" applyBorder="1"/>
    <x:xf numFmtId="202" fontId="4" fillId="0" borderId="5" xfId="0" applyNumberFormat="1" applyFont="1" applyFill="1" applyBorder="1" applyAlignment="1">
      <x:alignment vertical="center"/>
    </x:xf>
    <x:xf numFmtId="202" fontId="4" fillId="0" borderId="3" xfId="0" applyNumberFormat="1" applyFont="1" applyFill="1" applyBorder="1" applyAlignment="1">
      <x:alignment vertical="center"/>
    </x:xf>
    <x:xf numFmtId="202" fontId="4" fillId="0" borderId="4" xfId="0" applyNumberFormat="1" applyFont="1" applyFill="1" applyBorder="1" applyAlignment="1">
      <x:alignment vertical="center"/>
    </x:xf>
    <x:xf numFmtId="202" fontId="0" fillId="0" borderId="0" xfId="0" applyNumberFormat="1" applyFont="1" applyFill="1" applyBorder="1"/>
    <x:xf numFmtId="203" fontId="4" fillId="0" borderId="3" xfId="0" applyNumberFormat="1" applyFont="1" applyFill="1" applyBorder="1" applyAlignment="1">
      <x:alignment vertical="center"/>
    </x:xf>
    <x:xf numFmtId="203" fontId="4" fillId="0" borderId="4" xfId="0" applyNumberFormat="1" applyFont="1" applyFill="1" applyBorder="1" applyAlignment="1">
      <x:alignment vertical="center"/>
    </x:xf>
    <x:xf numFmtId="203" fontId="4" fillId="0" borderId="5" xfId="0" applyNumberFormat="1" applyFont="1" applyFill="1" applyBorder="1" applyAlignment="1">
      <x:alignment vertical="center"/>
    </x:xf>
    <x:xf numFmtId="203" fontId="0" fillId="0" borderId="0" xfId="0" applyNumberFormat="1" applyFont="1" applyFill="1" applyBorder="1"/>
    <x:xf numFmtId="0" fontId="5" fillId="0" borderId="0" xfId="0" applyNumberFormat="1" applyFont="1" applyFill="1" applyBorder="1"/>
    <x:xf numFmtId="0" fontId="5" fillId="0" borderId="7" xfId="0" applyNumberFormat="1" applyFont="1" applyFill="1" applyBorder="1"/>
    <x:xf numFmtId="201" fontId="5" fillId="0" borderId="7"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5"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vertical="center"/>
      <x:extLst>
        <x:ext uri="{C7286773-470A-42A8-94C5-96B5CB345126}">
          <xfpb:xfComplement xmlns:xfpb="http://schemas.microsoft.com/office/spreadsheetml/2022/featurepropertybag" i="0"/>
        </x:ext>
      </x:extLst>
    </x:xf>
    <x:xf numFmtId="204"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4" fontId="4" fillId="0" borderId="5" xfId="0" applyNumberFormat="1" applyFont="1" applyFill="1" applyBorder="1" applyAlignment="1">
      <x:alignment vertical="center"/>
    </x:xf>
    <x:xf numFmtId="202" fontId="3" fillId="4" borderId="2" xfId="0" applyNumberFormat="1" applyFont="1" applyFill="1" applyBorder="1" applyAlignment="1">
      <x:alignment horizontal="center" vertical="center" wrapText="1"/>
    </x:xf>
    <x:xf numFmtId="0" fontId="0" fillId="5" borderId="0" xfId="0" applyNumberFormat="1" applyFont="1" applyFill="1" applyBorder="1"/>
    <x:xf numFmtId="201" fontId="0" fillId="5" borderId="0" xfId="0" applyNumberFormat="1" applyFont="1" applyFill="1" applyBorder="1"/>
    <x:xf numFmtId="0" fontId="5" fillId="5" borderId="0" xfId="0" applyNumberFormat="1" applyFont="1" applyFill="1" applyBorder="1"/>
    <x:xf numFmtId="201" fontId="5"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0" borderId="0" xfId="0" applyNumberFormat="1" applyFont="1" applyFill="1" applyBorder="1"/>
    <x:xf numFmtId="0" fontId="7" fillId="4" borderId="0" xfId="0" applyNumberFormat="1" applyFont="1" applyFill="1" applyBorder="1"/>
    <x:xf numFmtId="202" fontId="7" fillId="0" borderId="0" xfId="0" applyNumberFormat="1" applyFont="1" applyFill="1" applyBorder="1"/>
    <x:xf numFmtId="0" fontId="3" fillId="4" borderId="0" xfId="0" applyNumberFormat="1" applyFont="1" applyFill="1" applyBorder="1" applyAlignment="1">
      <x:alignment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7" fillId="0" borderId="3" xfId="0" applyNumberFormat="1" applyFont="1" applyFill="1" applyBorder="1" applyAlignment="1">
      <x:alignment vertical="center"/>
    </x:xf>
    <x:xf numFmtId="0" fontId="7" fillId="0" borderId="4" xfId="0" applyNumberFormat="1" applyFont="1" applyFill="1" applyBorder="1" applyAlignment="1">
      <x:alignment vertical="center"/>
    </x:xf>
    <x:xf numFmtId="0" fontId="7" fillId="0" borderId="5" xfId="0" applyNumberFormat="1" applyFont="1" applyFill="1" applyBorder="1" applyAlignment="1">
      <x:alignment vertical="center"/>
    </x:xf>
    <x:xf numFmtId="200" fontId="7" fillId="0" borderId="3" xfId="0" applyNumberFormat="1" applyFont="1" applyFill="1" applyBorder="1" applyAlignment="1">
      <x:alignment vertical="center"/>
    </x:xf>
    <x:xf numFmtId="201" fontId="7" fillId="0" borderId="4" xfId="0" applyNumberFormat="1" applyFont="1" applyFill="1" applyBorder="1" applyAlignment="1">
      <x:alignment vertical="center"/>
    </x:xf>
    <x:xf numFmtId="203" fontId="7" fillId="0" borderId="4" xfId="0" applyNumberFormat="1" applyFont="1" applyFill="1" applyBorder="1" applyAlignment="1">
      <x:alignment vertical="center"/>
    </x:xf>
    <x:xf numFmtId="205" fontId="7" fillId="0" borderId="5"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5" borderId="0" xfId="0" applyNumberFormat="1" applyFont="1" applyFill="1" applyBorder="1" applyAlignment="1">
      <x:alignment wrapText="1"/>
    </x:xf>
    <x:xf numFmtId="0" fontId="9" fillId="0" borderId="3" xfId="0" applyNumberFormat="1" applyFont="1" applyFill="1" applyBorder="1"/>
    <x:xf numFmtId="0" fontId="9" fillId="0" borderId="4" xfId="0" applyNumberFormat="1" applyFont="1" applyFill="1" applyBorder="1"/>
    <x:xf numFmtId="0" fontId="9" fillId="0" borderId="5" xfId="0" applyNumberFormat="1" applyFont="1" applyFill="1" applyBorder="1"/>
    <x:xf numFmtId="200" fontId="9" fillId="0" borderId="3" xfId="0" applyNumberFormat="1" applyFont="1" applyFill="1" applyBorder="1"/>
    <x:xf numFmtId="201" fontId="9" fillId="0" borderId="4" xfId="0" applyNumberFormat="1" applyFont="1" applyFill="1" applyBorder="1"/>
    <x:xf numFmtId="202" fontId="9" fillId="0" borderId="4" xfId="0" applyNumberFormat="1" applyFont="1" applyFill="1" applyBorder="1"/>
    <x:xf numFmtId="202" fontId="9" fillId="0" borderId="5"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5" borderId="0" xfId="0" applyNumberFormat="1" applyFont="1" applyFill="1" applyBorder="1" applyAlignment="1">
      <x:alignment vertical="top" wrapText="1"/>
    </x:xf>
    <x:xf numFmtId="201" fontId="7" fillId="0" borderId="0" xfId="0" applyNumberFormat="1" applyFont="1" applyFill="1" applyBorder="1"/>
    <x:xf numFmtId="0" fontId="10" fillId="2" borderId="0" xfId="0" applyNumberFormat="1" applyFont="1" applyFill="1" applyBorder="1" applyAlignment="1">
      <x:alignment vertical="center"/>
    </x:xf>
    <x:xf numFmtId="0" fontId="11" fillId="3" borderId="0" xfId="0" applyNumberFormat="1" applyFont="1" applyFill="1" applyBorder="1" applyAlignment="1">
      <x:alignment vertical="center" wrapText="1"/>
    </x:xf>
    <x:xf numFmtId="0" fontId="12" fillId="0" borderId="0" xfId="0" applyNumberFormat="1" applyFont="1" applyFill="1" applyBorder="1"/>
    <x:xf numFmtId="0" fontId="13" fillId="2" borderId="0" xfId="0" applyNumberFormat="1" applyFont="1" applyFill="1" applyBorder="1" applyAlignment="1">
      <x:alignment vertical="center"/>
    </x:xf>
    <x:xf numFmtId="0" fontId="12" fillId="0" borderId="3" xfId="0" applyNumberFormat="1" applyFont="1" applyFill="1" applyBorder="1"/>
    <x:xf numFmtId="200" fontId="14" fillId="0" borderId="3" xfId="0" applyNumberFormat="1" applyFont="1" applyFill="1" applyBorder="1"/>
    <x:xf numFmtId="0" fontId="13" fillId="7" borderId="0" xfId="0" applyNumberFormat="1" applyFont="1" applyFill="1" applyBorder="1"/>
    <x:xf numFmtId="0" fontId="12" fillId="0" borderId="4" xfId="0" applyNumberFormat="1" applyFont="1" applyFill="1" applyBorder="1"/>
    <x:xf numFmtId="201" fontId="14" fillId="0" borderId="4" xfId="0" applyNumberFormat="1" applyFont="1" applyFill="1" applyBorder="1"/>
    <x:xf numFmtId="0" fontId="12" fillId="5" borderId="0" xfId="0" applyNumberFormat="1" applyFont="1" applyFill="1" applyBorder="1" applyAlignment="1">
      <x:alignment vertical="top" wrapText="1"/>
    </x:xf>
    <x:xf numFmtId="202" fontId="14" fillId="0" borderId="4" xfId="0" applyNumberFormat="1" applyFont="1" applyFill="1" applyBorder="1"/>
    <x:xf numFmtId="0" fontId="12" fillId="0" borderId="5" xfId="0" applyNumberFormat="1" applyFont="1" applyFill="1" applyBorder="1"/>
    <x:xf numFmtId="202" fontId="14" fillId="0" borderId="5" xfId="0" applyNumberFormat="1" applyFont="1" applyFill="1" applyBorder="1"/>
    <x:xf numFmtId="0" fontId="13" fillId="4" borderId="0" xfId="0" applyNumberFormat="1" applyFont="1" applyFill="1" applyBorder="1"/>
    <x:xf numFmtId="201" fontId="15" fillId="0" borderId="0" xfId="0" applyNumberFormat="1" applyFont="1" applyFill="1" applyBorder="1"/>
    <x:xf numFmtId="202" fontId="15" fillId="0" borderId="0" xfId="0" applyNumberFormat="1" applyFont="1" applyFill="1" applyBorder="1"/>
    <x:xf numFmtId="0" fontId="13" fillId="4" borderId="1" xfId="0" applyNumberFormat="1" applyFont="1" applyFill="1" applyBorder="1" applyAlignment="1">
      <x:alignment horizontal="center" vertical="center" wrapText="1"/>
    </x:xf>
    <x:xf numFmtId="0" fontId="13" fillId="4" borderId="2" xfId="0" applyNumberFormat="1" applyFont="1" applyFill="1" applyBorder="1" applyAlignment="1">
      <x:alignment horizontal="center" vertical="center" wrapText="1"/>
    </x:xf>
    <x:xf numFmtId="0" fontId="13" fillId="4" borderId="6" xfId="0" applyNumberFormat="1" applyFont="1" applyFill="1" applyBorder="1" applyAlignment="1">
      <x:alignment horizontal="center" vertical="center" wrapText="1"/>
    </x:xf>
    <x:xf numFmtId="0" fontId="16" fillId="0" borderId="3" xfId="0" applyNumberFormat="1" applyFont="1" applyFill="1" applyBorder="1" applyAlignment="1">
      <x:alignment vertical="center"/>
    </x:xf>
    <x:xf numFmtId="200" fontId="16" fillId="0" borderId="3" xfId="0" applyNumberFormat="1" applyFont="1" applyFill="1" applyBorder="1" applyAlignment="1">
      <x:alignment vertical="center"/>
    </x:xf>
    <x:xf numFmtId="201" fontId="16" fillId="0" borderId="3" xfId="0" applyNumberFormat="1" applyFont="1" applyFill="1" applyBorder="1" applyAlignment="1">
      <x:alignment vertical="center"/>
    </x:xf>
    <x:xf numFmtId="202" fontId="16" fillId="0" borderId="3" xfId="0" applyNumberFormat="1" applyFont="1" applyFill="1" applyBorder="1" applyAlignment="1">
      <x:alignment vertical="center"/>
    </x:xf>
    <x:xf numFmtId="203" fontId="16" fillId="0" borderId="3" xfId="0" applyNumberFormat="1" applyFont="1" applyFill="1" applyBorder="1" applyAlignment="1">
      <x:alignment vertical="center"/>
    </x:xf>
    <x:xf numFmtId="0" fontId="16" fillId="0" borderId="4" xfId="0" applyNumberFormat="1" applyFont="1" applyFill="1" applyBorder="1" applyAlignment="1">
      <x:alignment vertical="center"/>
    </x:xf>
    <x:xf numFmtId="200" fontId="16" fillId="0" borderId="4" xfId="0" applyNumberFormat="1" applyFont="1" applyFill="1" applyBorder="1" applyAlignment="1">
      <x:alignment vertical="center"/>
    </x:xf>
    <x:xf numFmtId="201" fontId="16" fillId="0" borderId="4" xfId="0" applyNumberFormat="1" applyFont="1" applyFill="1" applyBorder="1" applyAlignment="1">
      <x:alignment vertical="center"/>
    </x:xf>
    <x:xf numFmtId="202" fontId="16" fillId="0" borderId="4" xfId="0" applyNumberFormat="1" applyFont="1" applyFill="1" applyBorder="1" applyAlignment="1">
      <x:alignment vertical="center"/>
    </x:xf>
    <x:xf numFmtId="203" fontId="16" fillId="0" borderId="4" xfId="0" applyNumberFormat="1" applyFont="1" applyFill="1" applyBorder="1" applyAlignment="1">
      <x:alignment vertical="center"/>
    </x:xf>
    <x:xf numFmtId="0" fontId="16" fillId="0" borderId="5" xfId="0" applyNumberFormat="1" applyFont="1" applyFill="1" applyBorder="1" applyAlignment="1">
      <x:alignment vertical="center"/>
    </x:xf>
    <x:xf numFmtId="202" fontId="16" fillId="0" borderId="5" xfId="0" applyNumberFormat="1" applyFont="1" applyFill="1" applyBorder="1" applyAlignment="1">
      <x:alignment vertical="center"/>
    </x:xf>
    <x:xf numFmtId="201" fontId="16" fillId="0" borderId="5" xfId="0" applyNumberFormat="1" applyFont="1" applyFill="1" applyBorder="1" applyAlignment="1">
      <x:alignment vertical="center"/>
    </x:xf>
    <x:xf numFmtId="200" fontId="16" fillId="0" borderId="5" xfId="0" applyNumberFormat="1" applyFont="1" applyFill="1" applyBorder="1" applyAlignment="1">
      <x:alignment vertical="center"/>
    </x:xf>
    <x:xf numFmtId="203" fontId="16" fillId="0" borderId="5" xfId="0" applyNumberFormat="1" applyFont="1" applyFill="1" applyBorder="1" applyAlignment="1">
      <x:alignment vertical="center"/>
    </x:xf>
    <x:xf numFmtId="201" fontId="12" fillId="0" borderId="0" xfId="0" applyNumberFormat="1" applyFont="1" applyFill="1" applyBorder="1"/>
    <x:xf numFmtId="200" fontId="12" fillId="0" borderId="0" xfId="0" applyNumberFormat="1" applyFont="1" applyFill="1" applyBorder="1"/>
    <x:xf numFmtId="202" fontId="12" fillId="0" borderId="0" xfId="0" applyNumberFormat="1" applyFont="1" applyFill="1" applyBorder="1"/>
    <x:xf numFmtId="203" fontId="12" fillId="0" borderId="0" xfId="0" applyNumberFormat="1" applyFont="1" applyFill="1" applyBorder="1"/>
    <x:xf numFmtId="0" fontId="17" fillId="0" borderId="7" xfId="0" applyNumberFormat="1" applyFont="1" applyFill="1" applyBorder="1"/>
    <x:xf numFmtId="201" fontId="17" fillId="0" borderId="7" xfId="0" applyNumberFormat="1" applyFont="1" applyFill="1" applyBorder="1"/>
    <x:xf numFmtId="204" fontId="16" fillId="0" borderId="3" xfId="0" applyNumberFormat="1" applyFont="1" applyFill="1" applyBorder="1" applyAlignment="1">
      <x:alignment vertical="center"/>
    </x:xf>
    <x:xf numFmtId="204" fontId="16" fillId="0" borderId="4" xfId="0" applyNumberFormat="1" applyFont="1" applyFill="1" applyBorder="1" applyAlignment="1">
      <x:alignment vertical="center"/>
    </x:xf>
    <x:xf numFmtId="204" fontId="16" fillId="0" borderId="5" xfId="0" applyNumberFormat="1" applyFont="1" applyFill="1" applyBorder="1" applyAlignment="1">
      <x:alignment vertical="center"/>
    </x:xf>
    <x:xf numFmtId="0" fontId="16" fillId="0" borderId="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6"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6" fillId="0" borderId="5" xfId="0" applyNumberFormat="1" applyFont="1" applyFill="1" applyBorder="1" applyAlignment="1">
      <x:alignment vertical="center"/>
      <x:extLst>
        <x:ext uri="{C7286773-470A-42A8-94C5-96B5CB345126}">
          <xfpb:xfComplement xmlns:xfpb="http://schemas.microsoft.com/office/spreadsheetml/2022/featurepropertybag" i="0"/>
        </x:ext>
      </x:extLst>
    </x:xf>
    <x:xf numFmtId="202" fontId="13" fillId="4" borderId="2" xfId="0" applyNumberFormat="1" applyFont="1" applyFill="1" applyBorder="1" applyAlignment="1">
      <x:alignment horizontal="center" vertical="center" wrapText="1"/>
    </x:xf>
    <x:xf numFmtId="0" fontId="17" fillId="5" borderId="0" xfId="0" applyNumberFormat="1" applyFont="1" applyFill="1" applyBorder="1"/>
    <x:xf numFmtId="201" fontId="17" fillId="5" borderId="0" xfId="0" applyNumberFormat="1" applyFont="1" applyFill="1" applyBorder="1"/>
    <x:xf numFmtId="0" fontId="18" fillId="5" borderId="0" xfId="0" applyNumberFormat="1" applyFont="1" applyFill="1" applyBorder="1" applyAlignment="1">
      <x:alignment wrapText="1"/>
    </x:xf>
    <x:xf numFmtId="0" fontId="15" fillId="0" borderId="0" xfId="0" applyNumberFormat="1" applyFont="1" applyFill="1" applyBorder="1"/>
    <x:xf numFmtId="0" fontId="13" fillId="4" borderId="0" xfId="0" applyNumberFormat="1" applyFont="1" applyFill="1" applyBorder="1" applyAlignment="1">
      <x:alignment wrapText="1"/>
    </x:xf>
    <x:xf numFmtId="0" fontId="12" fillId="0" borderId="3" xfId="0" applyNumberFormat="1" applyFont="1" applyFill="1" applyBorder="1" applyAlignment="1">
      <x:alignment vertical="center"/>
    </x:xf>
    <x:xf numFmtId="200" fontId="15" fillId="0" borderId="3" xfId="0" applyNumberFormat="1" applyFont="1" applyFill="1" applyBorder="1" applyAlignment="1">
      <x:alignment vertical="center"/>
    </x:xf>
    <x:xf numFmtId="0" fontId="15" fillId="0" borderId="3" xfId="0" applyNumberFormat="1" applyFont="1" applyFill="1" applyBorder="1" applyAlignment="1">
      <x:alignment vertical="center"/>
    </x:xf>
    <x:xf numFmtId="0" fontId="12" fillId="0" borderId="4" xfId="0" applyNumberFormat="1" applyFont="1" applyFill="1" applyBorder="1" applyAlignment="1">
      <x:alignment vertical="center"/>
    </x:xf>
    <x:xf numFmtId="201" fontId="15" fillId="0" borderId="4" xfId="0" applyNumberFormat="1" applyFont="1" applyFill="1" applyBorder="1" applyAlignment="1">
      <x:alignment vertical="center"/>
    </x:xf>
    <x:xf numFmtId="203" fontId="15" fillId="0" borderId="4" xfId="0" applyNumberFormat="1" applyFont="1" applyFill="1" applyBorder="1" applyAlignment="1">
      <x:alignment vertical="center"/>
    </x:xf>
    <x:xf numFmtId="0" fontId="15" fillId="0" borderId="4" xfId="0" applyNumberFormat="1" applyFont="1" applyFill="1" applyBorder="1" applyAlignment="1">
      <x:alignment vertical="center"/>
    </x:xf>
    <x:xf numFmtId="0" fontId="12" fillId="0" borderId="5" xfId="0" applyNumberFormat="1" applyFont="1" applyFill="1" applyBorder="1" applyAlignment="1">
      <x:alignment vertical="center"/>
    </x:xf>
    <x:xf numFmtId="205" fontId="15" fillId="0" borderId="5" xfId="0" applyNumberFormat="1" applyFont="1" applyFill="1" applyBorder="1" applyAlignment="1">
      <x:alignment vertical="center"/>
    </x:xf>
    <x:xf numFmtId="0" fontId="15" fillId="0" borderId="5" xfId="0" applyNumberFormat="1" applyFont="1" applyFill="1" applyBorder="1" applyAlignment="1">
      <x:alignment vertical="center"/>
    </x:xf>
    <x:xf numFmtId="0" fontId="19" fillId="6" borderId="0" xfId="0" applyNumberFormat="1" applyFont="1" applyFill="1" applyBorder="1" applyAlignment="1">
      <x:alignment horizontal="center"/>
    </x:xf>
    <x:xf numFmtId="0" fontId="12" fillId="0" borderId="3"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2" fillId="5" borderId="0" xfId="0" applyNumberFormat="1" applyFont="1" applyFill="1" applyBorder="1" applyAlignment="1">
      <x:alignment wrapText="1"/>
    </x:xf>
  </x:cellXfs>
  <x:cellStyles count="1">
    <x:cellStyle name="Normal" xfId="0"/>
  </x:cellStyles>
  <x:dxfs count="4">
    <x:dxf>
      <x:font>
        <x:b/>
        <x:color rgb="FFC0392B"/>
      </x:font>
      <x:fill>
        <x:patternFill patternType="solid">
          <x:bgColor rgb="FFFADBD8"/>
        </x:patternFill>
      </x:fill>
    </x:dxf>
    <x:dxf>
      <x:font>
        <x:b/>
        <x:color rgb="FF1E8449"/>
      </x:font>
      <x:fill>
        <x:patternFill patternType="solid">
          <x:bgColor rgb="FFD5F5E3"/>
        </x:patternFill>
      </x:fill>
    </x:dxf>
    <x:dxf>
      <x:font>
        <x:b/>
        <x:color rgb="FF1E8449"/>
      </x:font>
      <x:fill>
        <x:patternFill patternType="solid">
          <x:bgColor rgb="FFD5F5E3"/>
        </x:patternFill>
      </x:fill>
    </x:dxf>
    <x:dxf>
      <x:font>
        <x:b/>
        <x:color rgb="FFC0392B"/>
      </x:font>
      <x:fill>
        <x:patternFill patternType="solid">
          <x:bgColor rgb="FFFADB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3092963f39459a" /><Relationship Type="http://schemas.openxmlformats.org/officeDocument/2006/relationships/theme" Target="/xl/theme/theme1.xml" Id="Rabbbe3c1096a439c" /><Relationship Type="http://schemas.microsoft.com/office/2022/11/relationships/FeaturePropertyBag" Target="/xl/featurePropertyBag/featurePropertyBag.xml" Id="Rdd6c15fc6d774ea1" /><Relationship Type="http://schemas.openxmlformats.org/officeDocument/2006/relationships/sharedStrings" Target="/xl/sharedStrings.xml" Id="R3842fe47beb34dd2" /><Relationship Type="http://schemas.openxmlformats.org/officeDocument/2006/relationships/worksheet" Target="/xl/worksheets/sheet1.xml" Id="R3f41d6e6a8e94bec" /><Relationship Type="http://schemas.openxmlformats.org/officeDocument/2006/relationships/worksheet" Target="/xl/worksheets/sheet2.xml" Id="Ra4f0d342f0ca41b5" /><Relationship Type="http://schemas.openxmlformats.org/officeDocument/2006/relationships/worksheet" Target="/xl/worksheets/sheet3.xml" Id="R7c37d60752eb45bd" /><Relationship Type="http://schemas.openxmlformats.org/officeDocument/2006/relationships/worksheet" Target="/xl/worksheets/sheet4.xml" Id="Rfe876b8dafb245ac" /><Relationship Type="http://schemas.openxmlformats.org/officeDocument/2006/relationships/worksheet" Target="/xl/worksheets/sheet5.xml" Id="Ree3c5c4f0d1e4059" /><Relationship Type="http://schemas.openxmlformats.org/officeDocument/2006/relationships/worksheet" Target="/xl/worksheets/sheet6.xml" Id="R7ec7de8b164048ff" /><Relationship Type="http://schemas.openxmlformats.org/officeDocument/2006/relationships/worksheet" Target="/xl/worksheets/sheet7.xml" Id="R4a1869b70a7c4bda" /><Relationship Type="http://schemas.openxmlformats.org/officeDocument/2006/relationships/worksheet" Target="/xl/worksheets/sheet8.xml" Id="Rdb63ea1b9f504d05" /><Relationship Type="http://schemas.openxmlformats.org/officeDocument/2006/relationships/worksheet" Target="/xl/worksheets/sheet9.xml" Id="Rf5c0e7d22ab2454c" /><Relationship Type="http://schemas.openxmlformats.org/officeDocument/2006/relationships/worksheet" Target="/xl/worksheets/sheet10.xml" Id="Re83e9d0b114c4b6a" /><Relationship Type="http://schemas.openxmlformats.org/officeDocument/2006/relationships/worksheet" Target="/xl/worksheets/sheet11.xml" Id="R809e36bffe274b52" /><Relationship Type="http://schemas.microsoft.com/office/2017/10/relationships/person" Target="/xl/persons/person.xml" Id="R236f1b95f8c54b3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03b438347614958" /><Relationship Type="http://schemas.openxmlformats.org/officeDocument/2006/relationships/chart" Target="/xl/drawings/charts/chart2.xml" Id="Re1a8a24b82c348d7" /></Relationships>
</file>

<file path=xl/drawings/_rels/drawing2.xml.rels>&#65279;<?xml version="1.0" encoding="utf-8"?><Relationships xmlns="http://schemas.openxmlformats.org/package/2006/relationships"><Relationship Type="http://schemas.openxmlformats.org/officeDocument/2006/relationships/chart" Target="/xl/drawings/charts/chart3.xml" Id="Rfb7ed5a91ccc4b93" /></Relationships>
</file>

<file path=xl/drawings/_rels/drawing3.xml.rels>&#65279;<?xml version="1.0" encoding="utf-8"?><Relationships xmlns="http://schemas.openxmlformats.org/package/2006/relationships"><Relationship Type="http://schemas.openxmlformats.org/officeDocument/2006/relationships/chart" Target="/xl/drawings/charts/chart4.xml" Id="R156fb2cecab949e5" /></Relationships>
</file>

<file path=xl/drawings/_rels/drawing4.xml.rels>&#65279;<?xml version="1.0" encoding="utf-8"?><Relationships xmlns="http://schemas.openxmlformats.org/package/2006/relationships"><Relationship Type="http://schemas.openxmlformats.org/officeDocument/2006/relationships/chart" Target="/xl/drawings/charts/chart5.xml" Id="R507cdf740a9d4ace" /></Relationships>
</file>

<file path=xl/drawings/_rels/drawing5.xml.rels>&#65279;<?xml version="1.0" encoding="utf-8"?><Relationships xmlns="http://schemas.openxmlformats.org/package/2006/relationships"><Relationship Type="http://schemas.openxmlformats.org/officeDocument/2006/relationships/chart" Target="/xl/drawings/charts/chart6.xml" Id="R3d64c511741b4017" /></Relationships>
</file>

<file path=xl/drawings/_rels/drawing6.xml.rels>&#65279;<?xml version="1.0" encoding="utf-8"?><Relationships xmlns="http://schemas.openxmlformats.org/package/2006/relationships"><Relationship Type="http://schemas.openxmlformats.org/officeDocument/2006/relationships/chart" Target="/xl/drawings/charts/chart7.xml" Id="R6f54926efd324ee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Final Total RWA under stress (INR crore)</a:t>
            </a:r>
          </a:p>
        </c:rich>
      </c:tx>
      <c:overlay val="0"/>
    </c:title>
    <c:plotArea>
      <c:barChart>
        <c:barDir val="col"/>
        <c:varyColors val="0"/>
        <c:ser>
          <c:idx val="0"/>
          <c:order val="0"/>
          <c:tx>
            <c:v>Final Total RWA (INR crore)</c:v>
          </c:tx>
          <c:cat>
            <c:strRef>
              <c:f>'01_Executive_Summary'!$A$17:$A$19</c:f>
              <c:strCache>
                <c:ptCount val="0"/>
              </c:strCache>
            </c:strRef>
          </c:cat>
          <c:val>
            <c:numRef>
              <c:f>'01_Executive_Summary'!$B$17:$B$19</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CET1 ratio declines under stress</a:t>
            </a:r>
          </a:p>
        </c:rich>
      </c:tx>
      <c:overlay val="0"/>
    </c:title>
    <c:plotArea>
      <c:barChart>
        <c:barDir val="col"/>
        <c:varyColors val="0"/>
        <c:ser>
          <c:idx val="0"/>
          <c:order val="0"/>
          <c:tx>
            <c:v>CET1 Ratio</c:v>
          </c:tx>
          <c:cat>
            <c:strRef>
              <c:f>'01_Executive_Summary'!$A$17:$A$19</c:f>
              <c:strCache>
                <c:ptCount val="0"/>
              </c:strCache>
            </c:strRef>
          </c:cat>
          <c:val>
            <c:numRef>
              <c:f>'01_Executive_Summary'!$C$17:$C$19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Largest sector exposures (INR crore)</a:t>
            </a:r>
          </a:p>
        </c:rich>
      </c:tx>
      <c:overlay val="0"/>
    </c:title>
    <c:plotArea>
      <c:barChart>
        <c:barDir val="col"/>
        <c:varyColors val="0"/>
        <c:ser>
          <c:idx val="0"/>
          <c:order val="0"/>
          <c:tx>
            <c:v>Ead (INR crore)</c:v>
          </c:tx>
          <c:cat>
            <c:strRef>
              <c:f>'02_Portfolio_Profile'!$D$6:$D$15</c:f>
              <c:strCache>
                <c:ptCount val="0"/>
              </c:strCache>
            </c:strRef>
          </c:cat>
          <c:val>
            <c:numRef>
              <c:f>'02_Portfolio_Profile'!$E$6:$E$15</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SA versus IRB Credit RWA by class (INR crore)</a:t>
            </a:r>
          </a:p>
        </c:rich>
      </c:tx>
      <c:overlay val="0"/>
    </c:title>
    <c:plotArea>
      <c:barChart>
        <c:barDir val="col"/>
        <c:varyColors val="0"/>
        <c:ser>
          <c:idx val="0"/>
          <c:order val="0"/>
          <c:tx>
            <c:v>Sa Rwa (INR crore)</c:v>
          </c:tx>
          <c:cat>
            <c:strRef>
              <c:f>'05_SA_vs_IRB'!$A$5:$A$14</c:f>
              <c:strCache>
                <c:ptCount val="0"/>
              </c:strCache>
            </c:strRef>
          </c:cat>
          <c:val>
            <c:numRef>
              <c:f>'05_SA_vs_IRB'!$B$5:$B$14</c:f>
              <c:numCache>
                <c:formatCode>#,##0.0;[Red](#,##0.0);-</c:formatCode>
                <c:ptCount val="0"/>
              </c:numCache>
            </c:numRef>
          </c:val>
        </c:ser>
        <c:ser>
          <c:idx val="1"/>
          <c:order val="1"/>
          <c:tx>
            <c:v>Irb Rwa (INR crore)</c:v>
          </c:tx>
          <c:cat>
            <c:strRef>
              <c:f>'05_SA_vs_IRB'!$A$5:$A$14</c:f>
              <c:strCache>
                <c:ptCount val="0"/>
              </c:strCache>
            </c:strRef>
          </c:cat>
          <c:val>
            <c:numRef>
              <c:f>'05_SA_vs_IRB'!$C$5:$C$14</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RWA movement by driver (INR crore)</a:t>
            </a:r>
          </a:p>
        </c:rich>
      </c:tx>
      <c:overlay val="0"/>
    </c:title>
    <c:plotArea>
      <c:barChart>
        <c:barDir val="col"/>
        <c:varyColors val="0"/>
        <c:ser>
          <c:idx val="0"/>
          <c:order val="0"/>
          <c:tx>
            <c:v>Series 1</c:v>
          </c:tx>
          <c:cat>
            <c:strRef>
              <c:f>'07_RWA_Bridge'!$A$6:$A$12</c:f>
              <c:strCache>
                <c:ptCount val="0"/>
              </c:strCache>
            </c:strRef>
          </c:cat>
          <c:val>
            <c:numRef>
              <c:f>'07_RWA_Bridge'!$B$6:$B$12</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RWA rises under stress (INR crore)</a:t>
            </a:r>
          </a:p>
        </c:rich>
      </c:tx>
      <c:overlay val="0"/>
    </c:title>
    <c:plotArea>
      <c:barChart>
        <c:barDir val="col"/>
        <c:varyColors val="0"/>
        <c:ser>
          <c:idx val="0"/>
          <c:order val="0"/>
          <c:tx>
            <c:v>Final Total RWA</c:v>
          </c:tx>
          <c:cat>
            <c:strRef>
              <c:f>'08_Stress_Test'!$A$5:$A$7</c:f>
              <c:strCache>
                <c:ptCount val="0"/>
              </c:strCache>
            </c:strRef>
          </c:cat>
          <c:val>
            <c:numRef>
              <c:f>'08_Stress_Test'!$F$5:$F$7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CET1 ratio by scenario</a:t>
            </a:r>
          </a:p>
        </c:rich>
      </c:tx>
      <c:overlay val="0"/>
    </c:title>
    <c:plotArea>
      <c:barChart>
        <c:barDir val="col"/>
        <c:varyColors val="0"/>
        <c:ser>
          <c:idx val="0"/>
          <c:order val="0"/>
          <c:tx>
            <c:v>CET1 Ratio</c:v>
          </c:tx>
          <c:cat>
            <c:strRef>
              <c:f>'09_Capital_Adequacy'!$J$5:$J$7</c:f>
              <c:strCache>
                <c:ptCount val="0"/>
              </c:strCache>
            </c:strRef>
          </c:cat>
          <c:val>
            <c:numRef>
              <c:f>'09_Capital_Adequacy'!$K$5:$K$7</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18</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3b438347614958"/>
        </a:graphicData>
      </a:graphic>
    </xdr:graphicFrame>
    <xdr:clientData/>
  </xdr:twoCellAnchor>
  <xdr:twoCellAnchor>
    <xdr:from>
      <xdr:col>9</xdr:col>
      <xdr:colOff>0</xdr:colOff>
      <xdr:row>16</xdr:row>
      <xdr:rowOff>0</xdr:rowOff>
    </xdr:from>
    <xdr:to>
      <xdr:col>18</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a8a24b82c348d7"/>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3</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7ed5a91ccc4b93"/>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3</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6fb2cecab949e5"/>
        </a:graphicData>
      </a:graphic>
    </xdr:graphicFrame>
    <xdr:clientData/>
  </xdr:twoCellAnchor>
</xdr:wsDr>
</file>

<file path=xl/drawings/drawing4.xml><?xml version="1.0" encoding="utf-8"?>
<xdr:wsDr xmlns:xdr="http://schemas.openxmlformats.org/drawingml/2006/spreadsheetDrawing">
  <xdr:twoCellAnchor>
    <xdr:from>
      <xdr:col>4</xdr:col>
      <xdr:colOff>0</xdr:colOff>
      <xdr:row>3</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7cdf740a9d4ace"/>
        </a:graphicData>
      </a:graphic>
    </xdr:graphicFrame>
    <xdr:clientData/>
  </xdr:twoCellAnchor>
</xdr:wsDr>
</file>

<file path=xl/drawings/drawing5.xml><?xml version="1.0" encoding="utf-8"?>
<xdr:wsDr xmlns:xdr="http://schemas.openxmlformats.org/drawingml/2006/spreadsheetDrawing">
  <xdr:twoCellAnchor>
    <xdr:from>
      <xdr:col>9</xdr:col>
      <xdr:colOff>0</xdr:colOff>
      <xdr:row>3</xdr:row>
      <xdr:rowOff>0</xdr:rowOff>
    </xdr:from>
    <xdr:to>
      <xdr:col>18</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64c511741b4017"/>
        </a:graphicData>
      </a:graphic>
    </xdr:graphicFrame>
    <xdr:clientData/>
  </xdr:twoCellAnchor>
</xdr:wsDr>
</file>

<file path=xl/drawings/drawing6.xml><?xml version="1.0" encoding="utf-8"?>
<xdr:wsDr xmlns:xdr="http://schemas.openxmlformats.org/drawingml/2006/spreadsheetDrawing">
  <xdr:twoCellAnchor>
    <xdr:from>
      <xdr:col>9</xdr:col>
      <xdr:colOff>0</xdr:colOff>
      <xdr:row>8</xdr:row>
      <xdr:rowOff>0</xdr:rowOff>
    </xdr:from>
    <xdr:to>
      <xdr:col>18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54926efd324ee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C1AC03FC-3D34-41C5-86F5-396E327E6CE0}"/>
</xltc:personList>
</file>

<file path=xl/tables/table1.xml><?xml version="1.0" encoding="utf-8"?>
<x:table xmlns:x="http://schemas.openxmlformats.org/spreadsheetml/2006/main" id="1" name="SectorProfile" displayName="SectorProfile" ref="D5:M16" headerRowCount="1" totalsRowCount="0" totalsRowShown="0">
  <x:tableColumns count="10">
    <x:tableColumn id="1" name="Sector"/>
    <x:tableColumn id="2" name="Ead (INR crore)"/>
    <x:tableColumn id="3" name="Sa Rwa (INR crore)"/>
    <x:tableColumn id="4" name="Irb Rwa (INR crore)"/>
    <x:tableColumn id="5" name="Exposure Count"/>
    <x:tableColumn id="6" name="Ead Share"/>
    <x:tableColumn id="7" name="Irb Rwa Share"/>
    <x:tableColumn id="8" name="Hhi Component"/>
    <x:tableColumn id="9" name="Weighted Pd"/>
    <x:tableColumn id="10" name="Weighted Lgd"/>
  </x:tableColumns>
  <x:tableStyleInfo name="TableStyleMedium2" showFirstColumn="0" showLastColumn="0" showRowStripes="1" showColumnStripes="0"/>
</x:table>
</file>

<file path=xl/tables/table2.xml><?xml version="1.0" encoding="utf-8"?>
<x:table xmlns:x="http://schemas.openxmlformats.org/spreadsheetml/2006/main" id="2" name="ProductProfile" displayName="ProductProfile" ref="A20:J28" headerRowCount="1" totalsRowCount="0" totalsRowShown="0">
  <x:tableColumns count="10">
    <x:tableColumn id="1" name="Product Type"/>
    <x:tableColumn id="2" name="Ead (INR crore)"/>
    <x:tableColumn id="3" name="Sa Rwa (INR crore)"/>
    <x:tableColumn id="4" name="Irb Rwa (INR crore)"/>
    <x:tableColumn id="5" name="Exposure Count"/>
    <x:tableColumn id="6" name="Ead Share"/>
    <x:tableColumn id="7" name="Irb Rwa Share"/>
    <x:tableColumn id="8" name="Hhi Component"/>
    <x:tableColumn id="9" name="Weighted Pd"/>
    <x:tableColumn id="10" name="Weighted Lgd"/>
  </x:tableColumns>
  <x:tableStyleInfo name="TableStyleMedium2" showFirstColumn="0" showLastColumn="0" showRowStripes="1" showColumnStripes="0"/>
</x:table>
</file>

<file path=xl/tables/table3.xml><?xml version="1.0" encoding="utf-8"?>
<x:table xmlns:x="http://schemas.openxmlformats.org/spreadsheetml/2006/main" id="3" name="SASummary" displayName="SASummary" ref="A4:E14" headerRowCount="1" totalsRowCount="0" totalsRowShown="0">
  <x:tableColumns count="5">
    <x:tableColumn id="1" name="Basel Exposure Class"/>
    <x:tableColumn id="2" name="Ead Pre Crm (INR crore)"/>
    <x:tableColumn id="3" name="Ead Post Crm (INR crore)"/>
    <x:tableColumn id="4" name="Sa Rwa (INR crore)"/>
    <x:tableColumn id="5" name="Average Risk Weight"/>
  </x:tableColumns>
  <x:tableStyleInfo name="TableStyleMedium2" showFirstColumn="0" showLastColumn="0" showRowStripes="1" showColumnStripes="0"/>
</x:table>
</file>

<file path=xl/tables/table4.xml><?xml version="1.0" encoding="utf-8"?>
<x:table xmlns:x="http://schemas.openxmlformats.org/spreadsheetml/2006/main" id="4" name="IRBSummary" displayName="IRBSummary" ref="A4:F14" headerRowCount="1" totalsRowCount="0" totalsRowShown="0">
  <x:tableColumns count="6">
    <x:tableColumn id="1" name="Basel Exposure Class"/>
    <x:tableColumn id="2" name="Ead (INR crore)"/>
    <x:tableColumn id="3" name="Weighted Pd"/>
    <x:tableColumn id="4" name="Weighted Lgd"/>
    <x:tableColumn id="5" name="Expected Loss (INR crore)"/>
    <x:tableColumn id="6" name="Irb Rwa (INR crore)"/>
  </x:tableColumns>
  <x:tableStyleInfo name="TableStyleMedium2" showFirstColumn="0" showLastColumn="0" showRowStripes="1" showColumnStripes="0"/>
</x:table>
</file>

<file path=xl/tables/table5.xml><?xml version="1.0" encoding="utf-8"?>
<x:table xmlns:x="http://schemas.openxmlformats.org/spreadsheetml/2006/main" id="5" name="ApproachComparison" displayName="ApproachComparison" ref="A4:E14" headerRowCount="1" totalsRowCount="0" totalsRowShown="0">
  <x:tableColumns count="5">
    <x:tableColumn id="1" name="Exposure Class"/>
    <x:tableColumn id="2" name="Sa Rwa (INR crore)"/>
    <x:tableColumn id="3" name="Irb Rwa (INR crore)"/>
    <x:tableColumn id="4" name="Difference (INR crore)"/>
    <x:tableColumn id="5" name="Irb To Sa"/>
  </x:tableColumns>
  <x:tableStyleInfo name="TableStyleMedium2" showFirstColumn="0" showLastColumn="0" showRowStripes="1" showColumnStripes="0"/>
</x:table>
</file>

<file path=xl/tables/table6.xml><?xml version="1.0" encoding="utf-8"?>
<x:table xmlns:x="http://schemas.openxmlformats.org/spreadsheetml/2006/main" id="6" name="OutputFloor" displayName="OutputFloor" ref="A17:D41" headerRowCount="1" totalsRowCount="0" totalsRowShown="0">
  <x:tableColumns count="4">
    <x:tableColumn id="1" name="Scenario"/>
    <x:tableColumn id="2" name="Metric"/>
    <x:tableColumn id="3" name="Value"/>
    <x:tableColumn id="4" name="Floor Binding"/>
  </x:tableColumns>
  <x:tableStyleInfo name="TableStyleMedium2" showFirstColumn="0" showLastColumn="0" showRowStripes="1" showColumnStripes="0"/>
</x:table>
</file>

<file path=xl/tables/table7.xml><?xml version="1.0" encoding="utf-8"?>
<x:table xmlns:x="http://schemas.openxmlformats.org/spreadsheetml/2006/main" id="7" name="TopBorrowers" displayName="TopBorrowers" ref="A14:G34" headerRowCount="1" totalsRowCount="0" totalsRowShown="0">
  <x:tableColumns count="7">
    <x:tableColumn id="1" name="Borrower Id"/>
    <x:tableColumn id="2" name="Connected Group Id"/>
    <x:tableColumn id="3" name="Ead (INR crore)"/>
    <x:tableColumn id="4" name="Irb Rwa (INR crore)"/>
    <x:tableColumn id="5" name="Facility Count"/>
    <x:tableColumn id="6" name="Ead Share"/>
    <x:tableColumn id="7" name="Cumulative Ead Share"/>
  </x:tableColumns>
  <x:tableStyleInfo name="TableStyleMedium2" showFirstColumn="0" showLastColumn="0" showRowStripes="1" showColumnStripes="0"/>
</x:table>
</file>

<file path=xl/tables/table8.xml><?xml version="1.0" encoding="utf-8"?>
<x:table xmlns:x="http://schemas.openxmlformats.org/spreadsheetml/2006/main" id="8" name="RWABridge" displayName="RWABridge" ref="A4:C13" headerRowCount="1" totalsRowCount="0" totalsRowShown="0">
  <x:tableColumns count="3">
    <x:tableColumn id="1" name="Driver"/>
    <x:tableColumn id="2" name="Amount (INR crore)"/>
    <x:tableColumn id="3" name="Kind"/>
  </x:tableColumns>
  <x:tableStyleInfo name="TableStyleMedium2" showFirstColumn="0" showLastColumn="0" showRowStripes="1" showColumnStripes="0"/>
</x:table>
</file>

<file path=xl/tables/table9.xml><?xml version="1.0" encoding="utf-8"?>
<x:table xmlns:x="http://schemas.openxmlformats.org/spreadsheetml/2006/main" id="9" name="ScenarioSummary" displayName="ScenarioSummary" ref="A4:H7" headerRowCount="1" totalsRowCount="0" totalsRowShown="0">
  <x:tableColumns count="8">
    <x:tableColumn id="1" name="Scenario"/>
    <x:tableColumn id="2" name="Ead (INR crore)"/>
    <x:tableColumn id="3" name="Sa Credit Rwa (INR crore)"/>
    <x:tableColumn id="4" name="Irb Credit Rwa (INR crore)"/>
    <x:tableColumn id="5" name="Expected Loss (INR crore)"/>
    <x:tableColumn id="6" name="Final Total Rwa (INR crore)"/>
    <x:tableColumn id="7" name="Floor Binding"/>
    <x:tableColumn id="8" name="Stress Loss (INR crore)"/>
  </x:tableColumns>
  <x:tableStyleInfo name="TableStyleMedium2" showFirstColumn="0" showLastColumn="0" showRowStripes="1" showColumnStripes="0"/>
</x:table>
</file>

<file path=xl/tables/table10.xml><?xml version="1.0" encoding="utf-8"?>
<x:table xmlns:x="http://schemas.openxmlformats.org/spreadsheetml/2006/main" id="10" name="SevereSectorContribution" displayName="SevereSectorContribution" ref="A12:E23" headerRowCount="1" totalsRowCount="0" totalsRowShown="0">
  <x:tableColumns count="5">
    <x:tableColumn id="1" name="Sector"/>
    <x:tableColumn id="2" name="Base Rwa (INR crore)"/>
    <x:tableColumn id="3" name="Stressed Rwa (INR crore)"/>
    <x:tableColumn id="4" name="Rwa Increase (INR crore)"/>
    <x:tableColumn id="5" name="Contribution Share"/>
  </x:tableColumns>
  <x:tableStyleInfo name="TableStyleMedium2" showFirstColumn="0" showLastColumn="0" showRowStripes="1" showColumnStripes="0"/>
</x:table>
</file>

<file path=xl/tables/table11.xml><?xml version="1.0" encoding="utf-8"?>
<x:table xmlns:x="http://schemas.openxmlformats.org/spreadsheetml/2006/main" id="11" name="CapitalAdequacy" displayName="CapitalAdequacy" ref="A4:H13" headerRowCount="1" totalsRowCount="0" totalsRowShown="0">
  <x:tableColumns count="8">
    <x:tableColumn id="1" name="Scenario"/>
    <x:tableColumn id="2" name="Capital Measure"/>
    <x:tableColumn id="3" name="Capital Amount (INR crore)"/>
    <x:tableColumn id="4" name="Total Rwa (INR crore)"/>
    <x:tableColumn id="5" name="Ratio"/>
    <x:tableColumn id="6" name="Requirement Plus Buffer"/>
    <x:tableColumn id="7" name="Headroom"/>
    <x:tableColumn id="8" name="Stress Loss (INR cr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c68eda2af6b4314" /></Relationships>
</file>

<file path=xl/worksheets/_rels/sheet2.xml.rels>&#65279;<?xml version="1.0" encoding="utf-8"?><Relationships xmlns="http://schemas.openxmlformats.org/package/2006/relationships"><Relationship Type="http://schemas.openxmlformats.org/officeDocument/2006/relationships/drawing" Target="/xl/drawings/drawing2.xml" Id="Re5c01dc1da964b37" /><Relationship Type="http://schemas.openxmlformats.org/officeDocument/2006/relationships/table" Target="/xl/tables/table1.xml" Id="R93972d3ffd3b4945" /><Relationship Type="http://schemas.openxmlformats.org/officeDocument/2006/relationships/table" Target="/xl/tables/table2.xml" Id="R3c2369b5d7fc4655" /></Relationships>
</file>

<file path=xl/worksheets/_rels/sheet3.xml.rels>&#65279;<?xml version="1.0" encoding="utf-8"?><Relationships xmlns="http://schemas.openxmlformats.org/package/2006/relationships"><Relationship Type="http://schemas.openxmlformats.org/officeDocument/2006/relationships/table" Target="/xl/tables/table3.xml" Id="Rb98be1ff5dd64fd4" /></Relationships>
</file>

<file path=xl/worksheets/_rels/sheet4.xml.rels>&#65279;<?xml version="1.0" encoding="utf-8"?><Relationships xmlns="http://schemas.openxmlformats.org/package/2006/relationships"><Relationship Type="http://schemas.openxmlformats.org/officeDocument/2006/relationships/table" Target="/xl/tables/table4.xml" Id="Rb06bf05ae3454f73" /></Relationships>
</file>

<file path=xl/worksheets/_rels/sheet5.xml.rels>&#65279;<?xml version="1.0" encoding="utf-8"?><Relationships xmlns="http://schemas.openxmlformats.org/package/2006/relationships"><Relationship Type="http://schemas.openxmlformats.org/officeDocument/2006/relationships/drawing" Target="/xl/drawings/drawing3.xml" Id="R4f25c08ba71c4413" /><Relationship Type="http://schemas.openxmlformats.org/officeDocument/2006/relationships/table" Target="/xl/tables/table5.xml" Id="Re9e27fab0caa457b" /><Relationship Type="http://schemas.openxmlformats.org/officeDocument/2006/relationships/table" Target="/xl/tables/table6.xml" Id="R0b72047312024a40" /></Relationships>
</file>

<file path=xl/worksheets/_rels/sheet6.xml.rels>&#65279;<?xml version="1.0" encoding="utf-8"?><Relationships xmlns="http://schemas.openxmlformats.org/package/2006/relationships"><Relationship Type="http://schemas.openxmlformats.org/officeDocument/2006/relationships/table" Target="/xl/tables/table7.xml" Id="R754a2f3bc241469e" /></Relationships>
</file>

<file path=xl/worksheets/_rels/sheet7.xml.rels>&#65279;<?xml version="1.0" encoding="utf-8"?><Relationships xmlns="http://schemas.openxmlformats.org/package/2006/relationships"><Relationship Type="http://schemas.openxmlformats.org/officeDocument/2006/relationships/drawing" Target="/xl/drawings/drawing4.xml" Id="R28be2df8ae164f78" /><Relationship Type="http://schemas.openxmlformats.org/officeDocument/2006/relationships/table" Target="/xl/tables/table8.xml" Id="R2ac8be45a4464783" /></Relationships>
</file>

<file path=xl/worksheets/_rels/sheet8.xml.rels>&#65279;<?xml version="1.0" encoding="utf-8"?><Relationships xmlns="http://schemas.openxmlformats.org/package/2006/relationships"><Relationship Type="http://schemas.openxmlformats.org/officeDocument/2006/relationships/drawing" Target="/xl/drawings/drawing5.xml" Id="Rc10215953e794e11" /><Relationship Type="http://schemas.openxmlformats.org/officeDocument/2006/relationships/table" Target="/xl/tables/table9.xml" Id="R529d1a31659a4533" /><Relationship Type="http://schemas.openxmlformats.org/officeDocument/2006/relationships/table" Target="/xl/tables/table10.xml" Id="Rcac5838109ea4458" /></Relationships>
</file>

<file path=xl/worksheets/_rels/sheet9.xml.rels>&#65279;<?xml version="1.0" encoding="utf-8"?><Relationships xmlns="http://schemas.openxmlformats.org/package/2006/relationships"><Relationship Type="http://schemas.openxmlformats.org/officeDocument/2006/relationships/drawing" Target="/xl/drawings/drawing6.xml" Id="R73bd80c657d54318" /><Relationship Type="http://schemas.openxmlformats.org/officeDocument/2006/relationships/table" Target="/xl/tables/table11.xml" Id="Rf4774129fa684a66"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106" t="str">
        <x:v>Basel Credit Capital Engine</x:v>
      </x:c>
      <x:c r="B1" s="106"/>
      <x:c r="C1" s="106"/>
      <x:c r="D1" s="106"/>
      <x:c r="E1" s="106"/>
      <x:c r="F1" s="106"/>
      <x:c r="G1" s="106"/>
      <x:c r="H1" s="106"/>
      <x:c r="I1" s="106"/>
      <x:c r="J1" s="106"/>
      <x:c r="K1" s="106"/>
      <x:c r="L1" s="106"/>
    </x:row>
    <x:row r="2" ht="24" customHeight="1">
      <x:c r="A2" s="107" t="str">
        <x:v>Executive risk and capital summary | Synthetic educational bank | Reporting date 30 Jun 2026 | INR crore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22" customHeight="1">
      <x:c r="A4" s="109" t="str">
        <x:v>Portfolio and capital indicators</x:v>
      </x:c>
      <x:c r="B4" s="109"/>
      <x:c r="C4" s="109"/>
      <x:c r="D4" s="109"/>
      <x:c r="E4" s="109"/>
      <x:c r="F4" s="109"/>
      <x:c r="G4" s="109"/>
      <x:c r="H4" s="109"/>
      <x:c r="I4" s="108"/>
      <x:c r="J4" s="108"/>
      <x:c r="K4" s="108"/>
      <x:c r="L4" s="108"/>
    </x:row>
    <x:row r="5" ht="24" customHeight="1">
      <x:c r="A5" s="110" t="str">
        <x:v>Exposure count</x:v>
      </x:c>
      <x:c r="B5" s="111" t="n">
        <x:f>'02_Portfolio_Profile'!B6</x:f>
        <x:v>30000</x:v>
      </x:c>
      <x:c r="C5" s="108"/>
      <x:c r="D5" s="112" t="str">
        <x:v>Analyst reading</x:v>
      </x:c>
      <x:c r="E5" s="112"/>
      <x:c r="F5" s="112"/>
      <x:c r="G5" s="112"/>
      <x:c r="H5" s="112"/>
      <x:c r="I5" s="108"/>
      <x:c r="J5" s="108"/>
      <x:c r="K5" s="108"/>
      <x:c r="L5" s="108"/>
    </x:row>
    <x:row r="6" ht="24" customHeight="1">
      <x:c r="A6" s="113" t="str">
        <x:v>Total EAD (INR crore)</x:v>
      </x:c>
      <x:c r="B6" s="114" t="n">
        <x:f>'02_Portfolio_Profile'!B9</x:f>
        <x:v>702887.8163117705</x:v>
      </x:c>
      <x:c r="C6" s="108"/>
      <x:c r="D6" s="115" t="str">
        <x:v>The synthetic bank begins above the configured global minimum-plus-buffer thresholds. Adverse and severe scenarios increase Credit RWA and deduct simplified stress losses from CET1, reducing capital headroom. Detailed drivers are available in the stress, bridge and concentration sheets. Results are educational and not a regulatory submission.</x:v>
      </x:c>
      <x:c r="E6" s="115"/>
      <x:c r="F6" s="115"/>
      <x:c r="G6" s="115"/>
      <x:c r="H6" s="115"/>
      <x:c r="I6" s="108"/>
      <x:c r="J6" s="108"/>
      <x:c r="K6" s="108"/>
      <x:c r="L6" s="108"/>
    </x:row>
    <x:row r="7" ht="24" customHeight="1">
      <x:c r="A7" s="113" t="str">
        <x:v>SA Credit RWA (INR crore)</x:v>
      </x:c>
      <x:c r="B7" s="114" t="n">
        <x:f>'02_Portfolio_Profile'!B10</x:f>
        <x:v>406207.69049290236</x:v>
      </x:c>
      <x:c r="C7" s="108"/>
      <x:c r="D7" s="115"/>
      <x:c r="E7" s="115"/>
      <x:c r="F7" s="115"/>
      <x:c r="G7" s="115"/>
      <x:c r="H7" s="115"/>
      <x:c r="I7" s="108"/>
      <x:c r="J7" s="108"/>
      <x:c r="K7" s="108"/>
      <x:c r="L7" s="108"/>
    </x:row>
    <x:row r="8" ht="24" customHeight="1">
      <x:c r="A8" s="113" t="str">
        <x:v>IRB Credit RWA (INR crore)</x:v>
      </x:c>
      <x:c r="B8" s="114" t="n">
        <x:f>'02_Portfolio_Profile'!B11</x:f>
        <x:v>728676.4076818405</x:v>
      </x:c>
      <x:c r="C8" s="108"/>
      <x:c r="D8" s="115"/>
      <x:c r="E8" s="115"/>
      <x:c r="F8" s="115"/>
      <x:c r="G8" s="115"/>
      <x:c r="H8" s="115"/>
      <x:c r="I8" s="108"/>
      <x:c r="J8" s="108"/>
      <x:c r="K8" s="108"/>
      <x:c r="L8" s="108"/>
    </x:row>
    <x:row r="9" ht="24" customHeight="1">
      <x:c r="A9" s="113" t="str">
        <x:v>Base Total RWA (INR crore)</x:v>
      </x:c>
      <x:c r="B9" s="114" t="n">
        <x:f>'08_Stress_Test'!F5</x:f>
        <x:v>753676.4076818405</x:v>
      </x:c>
      <x:c r="C9" s="108"/>
      <x:c r="D9" s="115"/>
      <x:c r="E9" s="115"/>
      <x:c r="F9" s="115"/>
      <x:c r="G9" s="115"/>
      <x:c r="H9" s="115"/>
      <x:c r="I9" s="108"/>
      <x:c r="J9" s="108"/>
      <x:c r="K9" s="108"/>
      <x:c r="L9" s="108"/>
    </x:row>
    <x:row r="10" ht="24" customHeight="1">
      <x:c r="A10" s="113" t="str">
        <x:v>Base CET1 ratio</x:v>
      </x:c>
      <x:c r="B10" s="116" t="n">
        <x:f>'09_Capital_Adequacy'!E5</x:f>
        <x:v>0.0862439096</x:v>
      </x:c>
      <x:c r="C10" s="108"/>
      <x:c r="D10" s="115"/>
      <x:c r="E10" s="115"/>
      <x:c r="F10" s="115"/>
      <x:c r="G10" s="115"/>
      <x:c r="H10" s="115"/>
      <x:c r="I10" s="108"/>
      <x:c r="J10" s="108"/>
      <x:c r="K10" s="108"/>
      <x:c r="L10" s="108"/>
    </x:row>
    <x:row r="11" ht="24" customHeight="1">
      <x:c r="A11" s="113" t="str">
        <x:v>Adverse CET1 ratio</x:v>
      </x:c>
      <x:c r="B11" s="116" t="n">
        <x:f>'09_Capital_Adequacy'!E8</x:f>
        <x:v>0.055948805</x:v>
      </x:c>
      <x:c r="C11" s="108"/>
      <x:c r="D11" s="115"/>
      <x:c r="E11" s="115"/>
      <x:c r="F11" s="115"/>
      <x:c r="G11" s="115"/>
      <x:c r="H11" s="115"/>
      <x:c r="I11" s="108"/>
      <x:c r="J11" s="108"/>
      <x:c r="K11" s="108"/>
      <x:c r="L11" s="108"/>
    </x:row>
    <x:row r="12" ht="24" customHeight="1">
      <x:c r="A12" s="117" t="str">
        <x:v>Severe CET1 ratio</x:v>
      </x:c>
      <x:c r="B12" s="118" t="n">
        <x:f>'09_Capital_Adequacy'!E11</x:f>
        <x:v>0.0314148507</x:v>
      </x:c>
      <x:c r="C12" s="108"/>
      <x:c r="D12" s="115"/>
      <x:c r="E12" s="115"/>
      <x:c r="F12" s="115"/>
      <x:c r="G12" s="115"/>
      <x:c r="H12" s="115"/>
      <x:c r="I12" s="108"/>
      <x:c r="J12" s="108"/>
      <x:c r="K12" s="108"/>
      <x:c r="L12" s="108"/>
    </x:row>
    <x:row r="13">
      <x:c r="A13" s="108"/>
      <x:c r="B13" s="108"/>
      <x:c r="C13" s="108"/>
      <x:c r="D13" s="108"/>
      <x:c r="E13" s="108"/>
      <x:c r="F13" s="108"/>
      <x:c r="G13" s="108"/>
      <x:c r="H13" s="108"/>
      <x:c r="I13" s="108"/>
      <x:c r="J13" s="108"/>
      <x:c r="K13" s="108"/>
      <x:c r="L13" s="108"/>
    </x:row>
    <x:row r="14">
      <x:c r="A14" s="108"/>
      <x:c r="B14" s="108"/>
      <x:c r="C14" s="108"/>
      <x:c r="D14" s="108"/>
      <x:c r="E14" s="108"/>
      <x:c r="F14" s="108"/>
      <x:c r="G14" s="108"/>
      <x:c r="H14" s="108"/>
      <x:c r="I14" s="108"/>
      <x:c r="J14" s="108"/>
      <x:c r="K14" s="108"/>
      <x:c r="L14" s="108"/>
    </x:row>
    <x:row r="15" ht="22" customHeight="1">
      <x:c r="A15" s="109" t="str">
        <x:v>Scenario comparison</x:v>
      </x:c>
      <x:c r="B15" s="109"/>
      <x:c r="C15" s="109"/>
      <x:c r="D15" s="109"/>
      <x:c r="E15" s="109"/>
      <x:c r="F15" s="109"/>
      <x:c r="G15" s="109"/>
      <x:c r="H15" s="109"/>
      <x:c r="I15" s="108"/>
      <x:c r="J15" s="108"/>
      <x:c r="K15" s="108"/>
      <x:c r="L15" s="108"/>
    </x:row>
    <x:row r="16">
      <x:c r="A16" s="119" t="str">
        <x:v>Scenario</x:v>
      </x:c>
      <x:c r="B16" s="119" t="str">
        <x:v>Final Total RWA (INR crore)</x:v>
      </x:c>
      <x:c r="C16" s="119" t="str">
        <x:v>CET1 Ratio</x:v>
      </x:c>
      <x:c r="D16" s="108"/>
      <x:c r="E16" s="108"/>
      <x:c r="F16" s="108"/>
      <x:c r="G16" s="108"/>
      <x:c r="H16" s="108"/>
      <x:c r="I16" s="108"/>
      <x:c r="J16" s="108"/>
      <x:c r="K16" s="108"/>
      <x:c r="L16" s="108"/>
    </x:row>
    <x:row r="17">
      <x:c r="A17" s="108" t="str">
        <x:v>base</x:v>
      </x:c>
      <x:c r="B17" s="120" t="n">
        <x:f>'08_Stress_Test'!F5</x:f>
        <x:v>753676.4076818405</x:v>
      </x:c>
      <x:c r="C17" s="121" t="n">
        <x:f>'09_Capital_Adequacy'!E5</x:f>
        <x:v>0.0862439096</x:v>
      </x:c>
      <x:c r="D17" s="108"/>
      <x:c r="E17" s="108"/>
      <x:c r="F17" s="108"/>
      <x:c r="G17" s="108"/>
      <x:c r="H17" s="108"/>
      <x:c r="I17" s="108"/>
      <x:c r="J17" s="108"/>
      <x:c r="K17" s="108"/>
      <x:c r="L17" s="108"/>
    </x:row>
    <x:row r="18">
      <x:c r="A18" s="108" t="str">
        <x:v>adverse</x:v>
      </x:c>
      <x:c r="B18" s="120" t="n">
        <x:f>'08_Stress_Test'!F6</x:f>
        <x:v>1001102.9494243957</x:v>
      </x:c>
      <x:c r="C18" s="121" t="n">
        <x:f>'09_Capital_Adequacy'!E8</x:f>
        <x:v>0.055948805</x:v>
      </x:c>
      <x:c r="D18" s="108"/>
      <x:c r="E18" s="108"/>
      <x:c r="F18" s="108"/>
      <x:c r="G18" s="108"/>
      <x:c r="H18" s="108"/>
      <x:c r="I18" s="108"/>
      <x:c r="J18" s="108"/>
      <x:c r="K18" s="108"/>
      <x:c r="L18" s="108"/>
    </x:row>
    <x:row r="19">
      <x:c r="A19" s="108" t="str">
        <x:v>severe</x:v>
      </x:c>
      <x:c r="B19" s="120" t="n">
        <x:f>'08_Stress_Test'!F7</x:f>
        <x:v>1292671.0865599755</x:v>
      </x:c>
      <x:c r="C19" s="121" t="n">
        <x:f>'09_Capital_Adequacy'!E11</x:f>
        <x:v>0.0314148507</x:v>
      </x:c>
      <x:c r="D19" s="108"/>
      <x:c r="E19" s="108"/>
      <x:c r="F19" s="108"/>
      <x:c r="G19" s="108"/>
      <x:c r="H19" s="108"/>
      <x:c r="I19" s="108"/>
      <x:c r="J19" s="108"/>
      <x:c r="K19" s="108"/>
      <x:c r="L19" s="108"/>
    </x:row>
  </x:sheetData>
  <x:mergeCells>
    <x:mergeCell ref="A1:L1"/>
    <x:mergeCell ref="A2:L2"/>
    <x:mergeCell ref="A4:H4"/>
    <x:mergeCell ref="D5:H5"/>
    <x:mergeCell ref="D6:H12"/>
    <x:mergeCell ref="A15:H15"/>
  </x:mergeCells>
  <x:pageMargins left="0.7" right="0.7" top="0.75" bottom="0.75" header="0.3" footer="0.3"/>
  <x:drawing xmlns:r="http://schemas.openxmlformats.org/officeDocument/2006/relationships" r:id="R7c68eda2af6b4314"/>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9" hidden="0" customWidth="1"/>
    <x:col min="4" max="4" width="22" hidden="0" customWidth="1"/>
    <x:col min="5" max="5" width="19" hidden="0" customWidth="1"/>
    <x:col min="6" max="6" width="19" hidden="0" customWidth="1"/>
    <x:col min="7" max="7" width="19"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30" customHeight="1">
      <x:c r="A1" s="106" t="str">
        <x:v>Portfolio Profile</x:v>
      </x:c>
      <x:c r="B1" s="106"/>
      <x:c r="C1" s="106"/>
      <x:c r="D1" s="106"/>
      <x:c r="E1" s="106"/>
      <x:c r="F1" s="106"/>
      <x:c r="G1" s="106"/>
      <x:c r="H1" s="106"/>
      <x:c r="I1" s="106"/>
      <x:c r="J1" s="106"/>
      <x:c r="K1" s="106"/>
      <x:c r="L1" s="106"/>
      <x:c r="M1" s="108"/>
    </x:row>
    <x:row r="2" ht="24" customHeight="1">
      <x:c r="A2" s="107" t="str">
        <x:v>Synthetic bank exposure, borrower, product and sector composition | Monetary amounts in INR crore</x:v>
      </x:c>
      <x:c r="B2" s="107"/>
      <x:c r="C2" s="107"/>
      <x:c r="D2" s="107"/>
      <x:c r="E2" s="107"/>
      <x:c r="F2" s="107"/>
      <x:c r="G2" s="107"/>
      <x:c r="H2" s="107"/>
      <x:c r="I2" s="107"/>
      <x:c r="J2" s="107"/>
      <x:c r="K2" s="107"/>
      <x:c r="L2" s="107"/>
      <x:c r="M2" s="108"/>
    </x:row>
    <x:row r="3">
      <x:c r="A3" s="108"/>
      <x:c r="B3" s="108"/>
      <x:c r="C3" s="108"/>
      <x:c r="D3" s="108"/>
      <x:c r="E3" s="108"/>
      <x:c r="F3" s="108"/>
      <x:c r="G3" s="108"/>
      <x:c r="H3" s="108"/>
      <x:c r="I3" s="108"/>
      <x:c r="J3" s="108"/>
      <x:c r="K3" s="108"/>
      <x:c r="L3" s="108"/>
      <x:c r="M3" s="108"/>
    </x:row>
    <x:row r="4" ht="22" customHeight="1">
      <x:c r="A4" s="109" t="str">
        <x:v>Core portfolio metrics</x:v>
      </x:c>
      <x:c r="B4" s="109"/>
      <x:c r="C4" s="108"/>
      <x:c r="D4" s="109" t="str">
        <x:v>Sector concentration</x:v>
      </x:c>
      <x:c r="E4" s="109"/>
      <x:c r="F4" s="109"/>
      <x:c r="G4" s="109"/>
      <x:c r="H4" s="109"/>
      <x:c r="I4" s="109"/>
      <x:c r="J4" s="109"/>
      <x:c r="K4" s="109"/>
      <x:c r="L4" s="109"/>
      <x:c r="M4" s="109"/>
    </x:row>
    <x:row r="5" ht="30" customHeight="1">
      <x:c r="A5" s="122" t="str">
        <x:v>Metric</x:v>
      </x:c>
      <x:c r="B5" s="123" t="str">
        <x:v>Value</x:v>
      </x:c>
      <x:c r="C5" s="108"/>
      <x:c r="D5" s="122" t="str">
        <x:v>Sector</x:v>
      </x:c>
      <x:c r="E5" s="124" t="str">
        <x:v>Ead (INR crore)</x:v>
      </x:c>
      <x:c r="F5" s="124" t="str">
        <x:v>Sa Rwa (INR crore)</x:v>
      </x:c>
      <x:c r="G5" s="124" t="str">
        <x:v>Irb Rwa (INR crore)</x:v>
      </x:c>
      <x:c r="H5" s="124" t="str">
        <x:v>Exposure Count</x:v>
      </x:c>
      <x:c r="I5" s="124" t="str">
        <x:v>Ead Share</x:v>
      </x:c>
      <x:c r="J5" s="124" t="str">
        <x:v>Irb Rwa Share</x:v>
      </x:c>
      <x:c r="K5" s="124" t="str">
        <x:v>Hhi Component</x:v>
      </x:c>
      <x:c r="L5" s="124" t="str">
        <x:v>Weighted Pd</x:v>
      </x:c>
      <x:c r="M5" s="123" t="str">
        <x:v>Weighted Lgd</x:v>
      </x:c>
    </x:row>
    <x:row r="6">
      <x:c r="A6" s="125" t="str">
        <x:v>Exposure count</x:v>
      </x:c>
      <x:c r="B6" s="126" t="n">
        <x:v>30000</x:v>
      </x:c>
      <x:c r="C6" s="108"/>
      <x:c r="D6" s="125" t="str">
        <x:v>Financial Services</x:v>
      </x:c>
      <x:c r="E6" s="127" t="n">
        <x:v>147529.2334179946</x:v>
      </x:c>
      <x:c r="F6" s="127" t="n">
        <x:v>76355.09254906393</x:v>
      </x:c>
      <x:c r="G6" s="127" t="n">
        <x:v>132649.33399403136</x:v>
      </x:c>
      <x:c r="H6" s="126" t="n">
        <x:v>1802</x:v>
      </x:c>
      <x:c r="I6" s="128" t="n">
        <x:v>0.209890156</x:v>
      </x:c>
      <x:c r="J6" s="128" t="n">
        <x:v>0.1820414832</x:v>
      </x:c>
      <x:c r="K6" s="129" t="n">
        <x:v>0.0440538776</x:v>
      </x:c>
      <x:c r="L6" s="128" t="n">
        <x:v>0.0135690885</x:v>
      </x:c>
      <x:c r="M6" s="128" t="n">
        <x:v>0.797737716</x:v>
      </x:c>
    </x:row>
    <x:row r="7">
      <x:c r="A7" s="130" t="str">
        <x:v>Borrower count</x:v>
      </x:c>
      <x:c r="B7" s="131" t="n">
        <x:v>25125</x:v>
      </x:c>
      <x:c r="C7" s="108"/>
      <x:c r="D7" s="130" t="str">
        <x:v>Government</x:v>
      </x:c>
      <x:c r="E7" s="132" t="n">
        <x:v>136416.9025098093</x:v>
      </x:c>
      <x:c r="F7" s="132" t="n">
        <x:v>21593.660292094177</x:v>
      </x:c>
      <x:c r="G7" s="132" t="n">
        <x:v>28665.82682924301</x:v>
      </x:c>
      <x:c r="H7" s="131" t="n">
        <x:v>750</x:v>
      </x:c>
      <x:c r="I7" s="133" t="n">
        <x:v>0.194080619</x:v>
      </x:c>
      <x:c r="J7" s="133" t="n">
        <x:v>0.0393395841</x:v>
      </x:c>
      <x:c r="K7" s="134" t="n">
        <x:v>0.0376672867</x:v>
      </x:c>
      <x:c r="L7" s="133" t="n">
        <x:v>0.0017969369</x:v>
      </x:c>
      <x:c r="M7" s="133" t="n">
        <x:v>0.7621587156</x:v>
      </x:c>
    </x:row>
    <x:row r="8">
      <x:c r="A8" s="130" t="str">
        <x:v>Gross exposure</x:v>
      </x:c>
      <x:c r="B8" s="132" t="n">
        <x:v>558645.0087404712</x:v>
      </x:c>
      <x:c r="C8" s="108"/>
      <x:c r="D8" s="130" t="str">
        <x:v>Construction</x:v>
      </x:c>
      <x:c r="E8" s="132" t="n">
        <x:v>56676.95791850734</x:v>
      </x:c>
      <x:c r="F8" s="132" t="n">
        <x:v>41831.82965561585</x:v>
      </x:c>
      <x:c r="G8" s="132" t="n">
        <x:v>76215.77729539698</x:v>
      </x:c>
      <x:c r="H8" s="131" t="n">
        <x:v>751</x:v>
      </x:c>
      <x:c r="I8" s="133" t="n">
        <x:v>0.0806344293</x:v>
      </x:c>
      <x:c r="J8" s="133" t="n">
        <x:v>0.1045948194</x:v>
      </x:c>
      <x:c r="K8" s="134" t="n">
        <x:v>0.0065019112</x:v>
      </x:c>
      <x:c r="L8" s="133" t="n">
        <x:v>0.0156396856</x:v>
      </x:c>
      <x:c r="M8" s="133" t="n">
        <x:v>0.8537634137</x:v>
      </x:c>
    </x:row>
    <x:row r="9">
      <x:c r="A9" s="130" t="str">
        <x:v>Total EAD</x:v>
      </x:c>
      <x:c r="B9" s="132" t="n">
        <x:v>702887.8163117705</x:v>
      </x:c>
      <x:c r="C9" s="108"/>
      <x:c r="D9" s="130" t="str">
        <x:v>Healthcare</x:v>
      </x:c>
      <x:c r="E9" s="132" t="n">
        <x:v>54065.84992462452</x:v>
      </x:c>
      <x:c r="F9" s="132" t="n">
        <x:v>40331.86011554204</x:v>
      </x:c>
      <x:c r="G9" s="132" t="n">
        <x:v>73907.18002545215</x:v>
      </x:c>
      <x:c r="H9" s="131" t="n">
        <x:v>748</x:v>
      </x:c>
      <x:c r="I9" s="133" t="n">
        <x:v>0.0769196004</x:v>
      </x:c>
      <x:c r="J9" s="133" t="n">
        <x:v>0.101426613</x:v>
      </x:c>
      <x:c r="K9" s="134" t="n">
        <x:v>0.0059166249</x:v>
      </x:c>
      <x:c r="L9" s="133" t="n">
        <x:v>0.0357723532</x:v>
      </x:c>
      <x:c r="M9" s="133" t="n">
        <x:v>0.866107059</x:v>
      </x:c>
    </x:row>
    <x:row r="10">
      <x:c r="A10" s="130" t="str">
        <x:v>SA Credit RWA</x:v>
      </x:c>
      <x:c r="B10" s="132" t="n">
        <x:v>406207.69049290236</x:v>
      </x:c>
      <x:c r="C10" s="108"/>
      <x:c r="D10" s="130" t="str">
        <x:v>Auto Components</x:v>
      </x:c>
      <x:c r="E10" s="132" t="n">
        <x:v>52072.79231762107</x:v>
      </x:c>
      <x:c r="F10" s="132" t="n">
        <x:v>37238.740102879274</x:v>
      </x:c>
      <x:c r="G10" s="132" t="n">
        <x:v>67220.0481968937</x:v>
      </x:c>
      <x:c r="H10" s="131" t="n">
        <x:v>770</x:v>
      </x:c>
      <x:c r="I10" s="133" t="n">
        <x:v>0.074084073</x:v>
      </x:c>
      <x:c r="J10" s="133" t="n">
        <x:v>0.0922495191</x:v>
      </x:c>
      <x:c r="K10" s="134" t="n">
        <x:v>0.0054884499</x:v>
      </x:c>
      <x:c r="L10" s="133" t="n">
        <x:v>0.0217333532</x:v>
      </x:c>
      <x:c r="M10" s="133" t="n">
        <x:v>0.8584201093</x:v>
      </x:c>
    </x:row>
    <x:row r="11">
      <x:c r="A11" s="130" t="str">
        <x:v>IRB Credit RWA</x:v>
      </x:c>
      <x:c r="B11" s="132" t="n">
        <x:v>728676.4076818405</x:v>
      </x:c>
      <x:c r="C11" s="108"/>
      <x:c r="D11" s="130" t="str">
        <x:v>Consumer</x:v>
      </x:c>
      <x:c r="E11" s="132" t="n">
        <x:v>52062.93394994506</x:v>
      </x:c>
      <x:c r="F11" s="132" t="n">
        <x:v>39460.70262409381</x:v>
      </x:c>
      <x:c r="G11" s="132" t="n">
        <x:v>77413.87259869809</x:v>
      </x:c>
      <x:c r="H11" s="131" t="n">
        <x:v>692</x:v>
      </x:c>
      <x:c r="I11" s="133" t="n">
        <x:v>0.0740700475</x:v>
      </x:c>
      <x:c r="J11" s="133" t="n">
        <x:v>0.1062390271</x:v>
      </x:c>
      <x:c r="K11" s="134" t="n">
        <x:v>0.0054863719</x:v>
      </x:c>
      <x:c r="L11" s="133" t="n">
        <x:v>0.0357031892</x:v>
      </x:c>
      <x:c r="M11" s="133" t="n">
        <x:v>0.8726246939</x:v>
      </x:c>
    </x:row>
    <x:row r="12">
      <x:c r="A12" s="130" t="str">
        <x:v>IRB expected loss</x:v>
      </x:c>
      <x:c r="B12" s="132" t="n">
        <x:v>13235.315584936732</x:v>
      </x:c>
      <x:c r="C12" s="108"/>
      <x:c r="D12" s="130" t="str">
        <x:v>Real Estate</x:v>
      </x:c>
      <x:c r="E12" s="132" t="n">
        <x:v>51225.30776050267</x:v>
      </x:c>
      <x:c r="F12" s="132" t="n">
        <x:v>39152.741043725706</x:v>
      </x:c>
      <x:c r="G12" s="132" t="n">
        <x:v>72800.36920605261</x:v>
      </x:c>
      <x:c r="H12" s="131" t="n">
        <x:v>692</x:v>
      </x:c>
      <x:c r="I12" s="133" t="n">
        <x:v>0.0728783549</x:v>
      </x:c>
      <x:c r="J12" s="133" t="n">
        <x:v>0.0999076798</x:v>
      </x:c>
      <x:c r="K12" s="134" t="n">
        <x:v>0.0053112546</x:v>
      </x:c>
      <x:c r="L12" s="133" t="n">
        <x:v>0.0280689783</x:v>
      </x:c>
      <x:c r="M12" s="133" t="n">
        <x:v>0.8594363648</x:v>
      </x:c>
    </x:row>
    <x:row r="13">
      <x:c r="A13" s="135" t="str">
        <x:v>Defaulted EAD share</x:v>
      </x:c>
      <x:c r="B13" s="136" t="n">
        <x:v>0.00911341</x:v>
      </x:c>
      <x:c r="C13" s="108"/>
      <x:c r="D13" s="130" t="str">
        <x:v>Textiles</x:v>
      </x:c>
      <x:c r="E13" s="132" t="n">
        <x:v>51096.11604985064</x:v>
      </x:c>
      <x:c r="F13" s="132" t="n">
        <x:v>37158.9299293698</x:v>
      </x:c>
      <x:c r="G13" s="132" t="n">
        <x:v>67516.38567801227</x:v>
      </x:c>
      <x:c r="H13" s="131" t="n">
        <x:v>753</x:v>
      </x:c>
      <x:c r="I13" s="133" t="n">
        <x:v>0.0726945536</x:v>
      </x:c>
      <x:c r="J13" s="133" t="n">
        <x:v>0.0926561982</x:v>
      </x:c>
      <x:c r="K13" s="134" t="n">
        <x:v>0.0052844981</x:v>
      </x:c>
      <x:c r="L13" s="133" t="n">
        <x:v>0.0263883161</x:v>
      </x:c>
      <x:c r="M13" s="133" t="n">
        <x:v>0.8641609585</x:v>
      </x:c>
    </x:row>
    <x:row r="14">
      <x:c r="A14" s="108"/>
      <x:c r="B14" s="108"/>
      <x:c r="C14" s="108"/>
      <x:c r="D14" s="130" t="str">
        <x:v>Metals</x:v>
      </x:c>
      <x:c r="E14" s="132" t="n">
        <x:v>50671.358803696654</x:v>
      </x:c>
      <x:c r="F14" s="132" t="n">
        <x:v>35736.46816151226</x:v>
      </x:c>
      <x:c r="G14" s="132" t="n">
        <x:v>64672.544566003366</x:v>
      </x:c>
      <x:c r="H14" s="131" t="n">
        <x:v>732</x:v>
      </x:c>
      <x:c r="I14" s="133" t="n">
        <x:v>0.0720902506</x:v>
      </x:c>
      <x:c r="J14" s="133" t="n">
        <x:v>0.0887534492</x:v>
      </x:c>
      <x:c r="K14" s="134" t="n">
        <x:v>0.0051970042</x:v>
      </x:c>
      <x:c r="L14" s="133" t="n">
        <x:v>0.0364650645</x:v>
      </x:c>
      <x:c r="M14" s="133" t="n">
        <x:v>0.8614747978</x:v>
      </x:c>
    </x:row>
    <x:row r="15">
      <x:c r="A15" s="108"/>
      <x:c r="B15" s="108"/>
      <x:c r="C15" s="108"/>
      <x:c r="D15" s="130" t="str">
        <x:v>IT Services</x:v>
      </x:c>
      <x:c r="E15" s="132" t="n">
        <x:v>46225.33380274554</x:v>
      </x:c>
      <x:c r="F15" s="132" t="n">
        <x:v>35454.61503323175</x:v>
      </x:c>
      <x:c r="G15" s="132" t="n">
        <x:v>65709.94339051725</x:v>
      </x:c>
      <x:c r="H15" s="131" t="n">
        <x:v>710</x:v>
      </x:c>
      <x:c r="I15" s="133" t="n">
        <x:v>0.0657648813</x:v>
      </x:c>
      <x:c r="J15" s="133" t="n">
        <x:v>0.0901771248</x:v>
      </x:c>
      <x:c r="K15" s="134" t="n">
        <x:v>0.0043250196</x:v>
      </x:c>
      <x:c r="L15" s="133" t="n">
        <x:v>0.034383143</x:v>
      </x:c>
      <x:c r="M15" s="133" t="n">
        <x:v>0.8584900388</x:v>
      </x:c>
    </x:row>
    <x:row r="16">
      <x:c r="A16" s="108"/>
      <x:c r="B16" s="108"/>
      <x:c r="C16" s="108"/>
      <x:c r="D16" s="135" t="str">
        <x:v>Households</x:v>
      </x:c>
      <x:c r="E16" s="137" t="n">
        <x:v>4845.029856473051</x:v>
      </x:c>
      <x:c r="F16" s="137" t="n">
        <x:v>1893.0509857737502</x:v>
      </x:c>
      <x:c r="G16" s="137" t="n">
        <x:v>1905.1259015397159</x:v>
      </x:c>
      <x:c r="H16" s="138" t="n">
        <x:v>21600</x:v>
      </x:c>
      <x:c r="I16" s="136" t="n">
        <x:v>0.0068930343</x:v>
      </x:c>
      <x:c r="J16" s="136" t="n">
        <x:v>0.002614502</x:v>
      </x:c>
      <x:c r="K16" s="139" t="n">
        <x:v>0.0000475139</x:v>
      </x:c>
      <x:c r="L16" s="136" t="n">
        <x:v>0.0265328093</x:v>
      </x:c>
      <x:c r="M16" s="136" t="n">
        <x:v>0.3646381065</x:v>
      </x:c>
    </x:row>
    <x:row r="17">
      <x:c r="A17" s="108"/>
      <x:c r="B17" s="108"/>
      <x:c r="C17" s="108"/>
      <x:c r="D17" s="108"/>
      <x:c r="E17" s="108"/>
      <x:c r="F17" s="108"/>
      <x:c r="G17" s="108"/>
      <x:c r="H17" s="108"/>
      <x:c r="I17" s="108"/>
      <x:c r="J17" s="108"/>
      <x:c r="K17" s="108"/>
      <x:c r="L17" s="108"/>
      <x:c r="M17" s="108"/>
    </x:row>
    <x:row r="18">
      <x:c r="A18" s="108"/>
      <x:c r="B18" s="108"/>
      <x:c r="C18" s="108"/>
      <x:c r="D18" s="108"/>
      <x:c r="E18" s="108"/>
      <x:c r="F18" s="108"/>
      <x:c r="G18" s="108"/>
      <x:c r="H18" s="108"/>
      <x:c r="I18" s="108"/>
      <x:c r="J18" s="108"/>
      <x:c r="K18" s="108"/>
      <x:c r="L18" s="108"/>
      <x:c r="M18" s="108"/>
    </x:row>
    <x:row r="19" ht="22" customHeight="1">
      <x:c r="A19" s="109" t="str">
        <x:v>Product concentration</x:v>
      </x:c>
      <x:c r="B19" s="109"/>
      <x:c r="C19" s="109"/>
      <x:c r="D19" s="109"/>
      <x:c r="E19" s="109"/>
      <x:c r="F19" s="109"/>
      <x:c r="G19" s="109"/>
      <x:c r="H19" s="109"/>
      <x:c r="I19" s="109"/>
      <x:c r="J19" s="109"/>
      <x:c r="K19" s="108"/>
      <x:c r="L19" s="108"/>
      <x:c r="M19" s="108"/>
    </x:row>
    <x:row r="20" ht="30" customHeight="1">
      <x:c r="A20" s="122" t="str">
        <x:v>Product Type</x:v>
      </x:c>
      <x:c r="B20" s="124" t="str">
        <x:v>Ead (INR crore)</x:v>
      </x:c>
      <x:c r="C20" s="124" t="str">
        <x:v>Sa Rwa (INR crore)</x:v>
      </x:c>
      <x:c r="D20" s="124" t="str">
        <x:v>Irb Rwa (INR crore)</x:v>
      </x:c>
      <x:c r="E20" s="124" t="str">
        <x:v>Exposure Count</x:v>
      </x:c>
      <x:c r="F20" s="124" t="str">
        <x:v>Ead Share</x:v>
      </x:c>
      <x:c r="G20" s="124" t="str">
        <x:v>Irb Rwa Share</x:v>
      </x:c>
      <x:c r="H20" s="124" t="str">
        <x:v>Hhi Component</x:v>
      </x:c>
      <x:c r="I20" s="124" t="str">
        <x:v>Weighted Pd</x:v>
      </x:c>
      <x:c r="J20" s="123" t="str">
        <x:v>Weighted Lgd</x:v>
      </x:c>
      <x:c r="K20" s="108"/>
      <x:c r="L20" s="108"/>
      <x:c r="M20" s="108"/>
    </x:row>
    <x:row r="21">
      <x:c r="A21" s="125" t="str">
        <x:v>corporate_revolver</x:v>
      </x:c>
      <x:c r="B21" s="127" t="n">
        <x:v>451656.8611635373</x:v>
      </x:c>
      <x:c r="C21" s="127" t="n">
        <x:v>331713.0381324569</x:v>
      </x:c>
      <x:c r="D21" s="127" t="n">
        <x:v>608677.0770615615</x:v>
      </x:c>
      <x:c r="E21" s="126" t="n">
        <x:v>3000</x:v>
      </x:c>
      <x:c r="F21" s="128" t="n">
        <x:v>0.6425731826</x:v>
      </x:c>
      <x:c r="G21" s="128" t="n">
        <x:v>0.8353187652</x:v>
      </x:c>
      <x:c r="H21" s="129" t="n">
        <x:v>0.412900295</x:v>
      </x:c>
      <x:c r="I21" s="128" t="n">
        <x:v>0.0270734638</x:v>
      </x:c>
      <x:c r="J21" s="128" t="n">
        <x:v>0.8597750019</x:v>
      </x:c>
      <x:c r="K21" s="108"/>
      <x:c r="L21" s="108"/>
      <x:c r="M21" s="108"/>
    </x:row>
    <x:row r="22">
      <x:c r="A22" s="130" t="str">
        <x:v>sovereign_bond</x:v>
      </x:c>
      <x:c r="B22" s="132" t="n">
        <x:v>136416.9025098093</x:v>
      </x:c>
      <x:c r="C22" s="132" t="n">
        <x:v>21593.660292094177</x:v>
      </x:c>
      <x:c r="D22" s="132" t="n">
        <x:v>28665.82682924301</x:v>
      </x:c>
      <x:c r="E22" s="131" t="n">
        <x:v>750</x:v>
      </x:c>
      <x:c r="F22" s="133" t="n">
        <x:v>0.194080619</x:v>
      </x:c>
      <x:c r="G22" s="133" t="n">
        <x:v>0.0393395841</x:v>
      </x:c>
      <x:c r="H22" s="134" t="n">
        <x:v>0.0376672867</x:v>
      </x:c>
      <x:c r="I22" s="133" t="n">
        <x:v>0.0017969369</x:v>
      </x:c>
      <x:c r="J22" s="133" t="n">
        <x:v>0.7621587156</x:v>
      </x:c>
      <x:c r="K22" s="108"/>
      <x:c r="L22" s="108"/>
      <x:c r="M22" s="108"/>
    </x:row>
    <x:row r="23">
      <x:c r="A23" s="130" t="str">
        <x:v>bank_loan</x:v>
      </x:c>
      <x:c r="B23" s="132" t="n">
        <x:v>86527.409619925</x:v>
      </x:c>
      <x:c r="C23" s="132" t="n">
        <x:v>31070.09010510498</x:v>
      </x:c>
      <x:c r="D23" s="132" t="n">
        <x:v>48316.007832624324</x:v>
      </x:c>
      <x:c r="E23" s="131" t="n">
        <x:v>1050</x:v>
      </x:c>
      <x:c r="F23" s="133" t="n">
        <x:v>0.1231027308</x:v>
      </x:c>
      <x:c r="G23" s="133" t="n">
        <x:v>0.0663065351</x:v>
      </x:c>
      <x:c r="H23" s="134" t="n">
        <x:v>0.0151542823</x:v>
      </x:c>
      <x:c r="I23" s="133" t="n">
        <x:v>0.0085432083</x:v>
      </x:c>
      <x:c r="J23" s="133" t="n">
        <x:v>0.750331604</x:v>
      </x:c>
      <x:c r="K23" s="108"/>
      <x:c r="L23" s="108"/>
      <x:c r="M23" s="108"/>
    </x:row>
    <x:row r="24">
      <x:c r="A24" s="130" t="str">
        <x:v>sme_revolver</x:v>
      </x:c>
      <x:c r="B24" s="132" t="n">
        <x:v>22244.3296729542</x:v>
      </x:c>
      <x:c r="C24" s="132" t="n">
        <x:v>18760.637671838496</x:v>
      </x:c>
      <x:c r="D24" s="132" t="n">
        <x:v>38268.475394656554</x:v>
      </x:c>
      <x:c r="E24" s="131" t="n">
        <x:v>3000</x:v>
      </x:c>
      <x:c r="F24" s="133" t="n">
        <x:v>0.0316470554</x:v>
      </x:c>
      <x:c r="G24" s="133" t="n">
        <x:v>0.0525177912</x:v>
      </x:c>
      <x:c r="H24" s="134" t="n">
        <x:v>0.0010015361</x:v>
      </x:c>
      <x:c r="I24" s="133" t="n">
        <x:v>0.0459795984</x:v>
      </x:c>
      <x:c r="J24" s="133" t="n">
        <x:v>0.9045749948</x:v>
      </x:c>
      <x:c r="K24" s="108"/>
      <x:c r="L24" s="108"/>
      <x:c r="M24" s="108"/>
    </x:row>
    <x:row r="25">
      <x:c r="A25" s="130" t="str">
        <x:v>mortgage</x:v>
      </x:c>
      <x:c r="B25" s="132" t="n">
        <x:v>4269.50921356602</x:v>
      </x:c>
      <x:c r="C25" s="132" t="n">
        <x:v>1470.0858932068913</x:v>
      </x:c>
      <x:c r="D25" s="132" t="n">
        <x:v>1282.3197817563369</x:v>
      </x:c>
      <x:c r="E25" s="131" t="n">
        <x:v>9600</x:v>
      </x:c>
      <x:c r="F25" s="133" t="n">
        <x:v>0.0060742399</x:v>
      </x:c>
      <x:c r="G25" s="133" t="n">
        <x:v>0.0017597932</x:v>
      </x:c>
      <x:c r="H25" s="134" t="n">
        <x:v>0.0000368964</x:v>
      </x:c>
      <x:c r="I25" s="133" t="n">
        <x:v>0.0230168471</x:v>
      </x:c>
      <x:c r="J25" s="133" t="n">
        <x:v>0.279125169</x:v>
      </x:c>
      <x:c r="K25" s="108"/>
      <x:c r="L25" s="108"/>
      <x:c r="M25" s="108"/>
    </x:row>
    <x:row r="26">
      <x:c r="A26" s="130" t="str">
        <x:v>other</x:v>
      </x:c>
      <x:c r="B26" s="132" t="n">
        <x:v>1197.2834890715835</x:v>
      </x:c>
      <x:c r="C26" s="132" t="n">
        <x:v>1177.2133056340365</x:v>
      </x:c>
      <x:c r="D26" s="132" t="n">
        <x:v>2843.8946622154044</x:v>
      </x:c>
      <x:c r="E26" s="131" t="n">
        <x:v>600</x:v>
      </x:c>
      <x:c r="F26" s="133" t="n">
        <x:v>0.0017033778</x:v>
      </x:c>
      <x:c r="G26" s="133" t="n">
        <x:v>0.0039028225</x:v>
      </x:c>
      <x:c r="H26" s="134" t="n">
        <x:v>0.0000029015</x:v>
      </x:c>
      <x:c r="I26" s="133" t="n">
        <x:v>0.0385917965</x:v>
      </x:c>
      <x:c r="J26" s="133" t="n">
        <x:v>0.9888634863</x:v>
      </x:c>
      <x:c r="K26" s="108"/>
      <x:c r="L26" s="108"/>
      <x:c r="M26" s="108"/>
    </x:row>
    <x:row r="27">
      <x:c r="A27" s="130" t="str">
        <x:v>personal_loan</x:v>
      </x:c>
      <x:c r="B27" s="132" t="n">
        <x:v>497.6717458760974</x:v>
      </x:c>
      <x:c r="C27" s="132" t="n">
        <x:v>369.7520298225129</x:v>
      </x:c>
      <x:c r="D27" s="132" t="n">
        <x:v>526.1922652845958</x:v>
      </x:c>
      <x:c r="E27" s="131" t="n">
        <x:v>6000</x:v>
      </x:c>
      <x:c r="F27" s="133" t="n">
        <x:v>0.0007080387</x:v>
      </x:c>
      <x:c r="G27" s="133" t="n">
        <x:v>0.0007221206</x:v>
      </x:c>
      <x:c r="H27" s="134" t="n">
        <x:v>5.013e-7</x:v>
      </x:c>
      <x:c r="I27" s="133" t="n">
        <x:v>0.0518063241</x:v>
      </x:c>
      <x:c r="J27" s="133" t="n">
        <x:v>0.9988634863</x:v>
      </x:c>
      <x:c r="K27" s="108"/>
      <x:c r="L27" s="108"/>
      <x:c r="M27" s="108"/>
    </x:row>
    <x:row r="28">
      <x:c r="A28" s="135" t="str">
        <x:v>credit_card</x:v>
      </x:c>
      <x:c r="B28" s="137" t="n">
        <x:v>77.84889703093373</x:v>
      </x:c>
      <x:c r="C28" s="137" t="n">
        <x:v>53.21306274434606</x:v>
      </x:c>
      <x:c r="D28" s="137" t="n">
        <x:v>96.61385449878337</x:v>
      </x:c>
      <x:c r="E28" s="138" t="n">
        <x:v>6000</x:v>
      </x:c>
      <x:c r="F28" s="136" t="n">
        <x:v>0.0001107558</x:v>
      </x:c>
      <x:c r="G28" s="136" t="n">
        <x:v>0.0001325881</x:v>
      </x:c>
      <x:c r="H28" s="139" t="n">
        <x:v>1.23e-8</x:v>
      </x:c>
      <x:c r="I28" s="136" t="n">
        <x:v>0.0577923222</x:v>
      </x:c>
      <x:c r="J28" s="136" t="n">
        <x:v>1</x:v>
      </x:c>
      <x:c r="K28" s="108"/>
      <x:c r="L28" s="108"/>
      <x:c r="M28" s="108"/>
    </x:row>
    <x:row r="29">
      <x:c r="A29" s="108"/>
      <x:c r="B29" s="140"/>
      <x:c r="C29" s="140"/>
      <x:c r="D29" s="140"/>
      <x:c r="E29" s="141"/>
      <x:c r="F29" s="142"/>
      <x:c r="G29" s="142"/>
      <x:c r="H29" s="143"/>
      <x:c r="I29" s="142"/>
      <x:c r="J29" s="142"/>
      <x:c r="K29" s="108"/>
      <x:c r="L29" s="108"/>
      <x:c r="M29" s="108"/>
    </x:row>
    <x:row r="30">
      <x:c r="A30" s="108"/>
      <x:c r="B30" s="140"/>
      <x:c r="C30" s="140"/>
      <x:c r="D30" s="140"/>
      <x:c r="E30" s="141"/>
      <x:c r="F30" s="142"/>
      <x:c r="G30" s="142"/>
      <x:c r="H30" s="143"/>
      <x:c r="I30" s="142"/>
      <x:c r="J30" s="142"/>
      <x:c r="K30" s="108"/>
      <x:c r="L30" s="108"/>
      <x:c r="M30" s="108"/>
    </x:row>
    <x:row r="31">
      <x:c r="A31" s="108"/>
      <x:c r="B31" s="140"/>
      <x:c r="C31" s="140"/>
      <x:c r="D31" s="140"/>
      <x:c r="E31" s="141"/>
      <x:c r="F31" s="142"/>
      <x:c r="G31" s="142"/>
      <x:c r="H31" s="143"/>
      <x:c r="I31" s="142"/>
      <x:c r="J31" s="142"/>
      <x:c r="K31" s="108"/>
      <x:c r="L31" s="108"/>
      <x:c r="M31" s="108"/>
    </x:row>
    <x:row r="32">
      <x:c r="A32" s="108"/>
      <x:c r="B32" s="140"/>
      <x:c r="C32" s="140"/>
      <x:c r="D32" s="140"/>
      <x:c r="E32" s="141"/>
      <x:c r="F32" s="142"/>
      <x:c r="G32" s="142"/>
      <x:c r="H32" s="143"/>
      <x:c r="I32" s="142"/>
      <x:c r="J32" s="142"/>
      <x:c r="K32" s="108"/>
      <x:c r="L32" s="108"/>
      <x:c r="M32" s="108"/>
    </x:row>
    <x:row r="33">
      <x:c r="A33" s="108"/>
      <x:c r="B33" s="140"/>
      <x:c r="C33" s="140"/>
      <x:c r="D33" s="140"/>
      <x:c r="E33" s="141"/>
      <x:c r="F33" s="142"/>
      <x:c r="G33" s="142"/>
      <x:c r="H33" s="143"/>
      <x:c r="I33" s="142"/>
      <x:c r="J33" s="142"/>
      <x:c r="K33" s="108"/>
      <x:c r="L33" s="108"/>
      <x:c r="M33" s="108"/>
    </x:row>
    <x:row r="34">
      <x:c r="A34" s="108"/>
      <x:c r="B34" s="140"/>
      <x:c r="C34" s="140"/>
      <x:c r="D34" s="140"/>
      <x:c r="E34" s="141"/>
      <x:c r="F34" s="142"/>
      <x:c r="G34" s="142"/>
      <x:c r="H34" s="143"/>
      <x:c r="I34" s="142"/>
      <x:c r="J34" s="142"/>
      <x:c r="K34" s="108"/>
      <x:c r="L34" s="108"/>
      <x:c r="M34" s="108"/>
    </x:row>
  </x:sheetData>
  <x:mergeCells>
    <x:mergeCell ref="A1:L1"/>
    <x:mergeCell ref="A2:L2"/>
    <x:mergeCell ref="A4:B4"/>
    <x:mergeCell ref="D4:M4"/>
    <x:mergeCell ref="A19:J19"/>
  </x:mergeCells>
  <x:pageMargins left="0.7" right="0.7" top="0.75" bottom="0.75" header="0.3" footer="0.3"/>
  <x:drawing xmlns:r="http://schemas.openxmlformats.org/officeDocument/2006/relationships" r:id="Re5c01dc1da964b37"/>
  <x:tableParts count="2">
    <x:tablePart xmlns:r="http://schemas.openxmlformats.org/officeDocument/2006/relationships" r:id="R93972d3ffd3b4945"/>
    <x:tablePart xmlns:r="http://schemas.openxmlformats.org/officeDocument/2006/relationships" r:id="R3c2369b5d7fc465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 min="5" max="5" width="18" hidden="0" customWidth="1"/>
  </x:cols>
  <x:sheetData>
    <x:row r="1" ht="30" customHeight="1">
      <x:c r="A1" s="106" t="str">
        <x:v>Standardised Approach Credit RWA</x:v>
      </x:c>
      <x:c r="B1" s="106"/>
      <x:c r="C1" s="106"/>
      <x:c r="D1" s="106"/>
      <x:c r="E1" s="106"/>
      <x:c r="F1" s="106"/>
      <x:c r="G1" s="106"/>
      <x:c r="H1" s="106"/>
      <x:c r="I1" s="106"/>
      <x:c r="J1" s="106"/>
      <x:c r="K1" s="106"/>
      <x:c r="L1" s="106"/>
    </x:row>
    <x:row r="2" ht="24" customHeight="1">
      <x:c r="A2" s="107" t="str">
        <x:v>Applied exposure classes, post-CRM EAD, risk weights and RWA density | INR crore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30" customHeight="1">
      <x:c r="A4" s="122" t="str">
        <x:v>Basel Exposure Class</x:v>
      </x:c>
      <x:c r="B4" s="124" t="str">
        <x:v>Ead Pre Crm (INR crore)</x:v>
      </x:c>
      <x:c r="C4" s="124" t="str">
        <x:v>Ead Post Crm (INR crore)</x:v>
      </x:c>
      <x:c r="D4" s="124" t="str">
        <x:v>Sa Rwa (INR crore)</x:v>
      </x:c>
      <x:c r="E4" s="123" t="str">
        <x:v>Average Risk Weight</x:v>
      </x:c>
      <x:c r="F4" s="108"/>
      <x:c r="G4" s="108"/>
      <x:c r="H4" s="108"/>
      <x:c r="I4" s="108"/>
      <x:c r="J4" s="108"/>
      <x:c r="K4" s="108"/>
      <x:c r="L4" s="108"/>
    </x:row>
    <x:row r="5">
      <x:c r="A5" s="125" t="str">
        <x:v>bank</x:v>
      </x:c>
      <x:c r="B5" s="127" t="n">
        <x:v>86076.16497439815</x:v>
      </x:c>
      <x:c r="C5" s="127" t="n">
        <x:v>77941.53987925872</x:v>
      </x:c>
      <x:c r="D5" s="127" t="n">
        <x:v>30429.420773156085</x:v>
      </x:c>
      <x:c r="E5" s="128" t="n">
        <x:v>0.3783190067</x:v>
      </x:c>
      <x:c r="F5" s="108"/>
      <x:c r="G5" s="108"/>
      <x:c r="H5" s="108"/>
      <x:c r="I5" s="108"/>
      <x:c r="J5" s="108"/>
      <x:c r="K5" s="108"/>
      <x:c r="L5" s="108"/>
    </x:row>
    <x:row r="6">
      <x:c r="A6" s="130" t="str">
        <x:v>corporate</x:v>
      </x:c>
      <x:c r="B6" s="132" t="n">
        <x:v>446283.67058253963</x:v>
      </x:c>
      <x:c r="C6" s="132" t="n">
        <x:v>446283.67058253963</x:v>
      </x:c>
      <x:c r="D6" s="132" t="n">
        <x:v>323943.3793049858</x:v>
      </x:c>
      <x:c r="E6" s="133" t="n">
        <x:v>0.7357166948</x:v>
      </x:c>
      <x:c r="F6" s="108"/>
      <x:c r="G6" s="108"/>
      <x:c r="H6" s="108"/>
      <x:c r="I6" s="108"/>
      <x:c r="J6" s="108"/>
      <x:c r="K6" s="108"/>
      <x:c r="L6" s="108"/>
    </x:row>
    <x:row r="7">
      <x:c r="A7" s="130" t="str">
        <x:v>corporate_sme</x:v>
      </x:c>
      <x:c r="B7" s="132" t="n">
        <x:v>21855.870140243373</x:v>
      </x:c>
      <x:c r="C7" s="132" t="n">
        <x:v>21855.870140243373</x:v>
      </x:c>
      <x:c r="D7" s="132" t="n">
        <x:v>18194.208263272943</x:v>
      </x:c>
      <x:c r="E7" s="133" t="n">
        <x:v>0.85</x:v>
      </x:c>
      <x:c r="F7" s="108"/>
      <x:c r="G7" s="108"/>
      <x:c r="H7" s="108"/>
      <x:c r="I7" s="108"/>
      <x:c r="J7" s="108"/>
      <x:c r="K7" s="108"/>
      <x:c r="L7" s="108"/>
    </x:row>
    <x:row r="8">
      <x:c r="A8" s="130" t="str">
        <x:v>defaulted</x:v>
      </x:c>
      <x:c r="B8" s="132" t="n">
        <x:v>6405.704843286997</x:v>
      </x:c>
      <x:c r="C8" s="132" t="n">
        <x:v>6405.704843286997</x:v>
      </x:c>
      <x:c r="D8" s="132" t="n">
        <x:v>9265.201245969505</x:v>
      </x:c>
      <x:c r="E8" s="133" t="n">
        <x:v>1.5</x:v>
      </x:c>
      <x:c r="F8" s="108"/>
      <x:c r="G8" s="108"/>
      <x:c r="H8" s="108"/>
      <x:c r="I8" s="108"/>
      <x:c r="J8" s="108"/>
      <x:c r="K8" s="108"/>
      <x:c r="L8" s="108"/>
    </x:row>
    <x:row r="9">
      <x:c r="A9" s="130" t="str">
        <x:v>other</x:v>
      </x:c>
      <x:c r="B9" s="132" t="n">
        <x:v>1186.5880051395955</x:v>
      </x:c>
      <x:c r="C9" s="132" t="n">
        <x:v>1186.5880051395955</x:v>
      </x:c>
      <x:c r="D9" s="132" t="n">
        <x:v>1161.1700797360543</x:v>
      </x:c>
      <x:c r="E9" s="133" t="n">
        <x:v>1</x:v>
      </x:c>
      <x:c r="F9" s="108"/>
      <x:c r="G9" s="108"/>
      <x:c r="H9" s="108"/>
      <x:c r="I9" s="108"/>
      <x:c r="J9" s="108"/>
      <x:c r="K9" s="108"/>
      <x:c r="L9" s="108"/>
    </x:row>
    <x:row r="10">
      <x:c r="A10" s="130" t="str">
        <x:v>regulatory_retail</x:v>
      </x:c>
      <x:c r="B10" s="132" t="n">
        <x:v>488.5652336979505</x:v>
      </x:c>
      <x:c r="C10" s="132" t="n">
        <x:v>488.5652336979505</x:v>
      </x:c>
      <x:c r="D10" s="132" t="n">
        <x:v>356.4014251673766</x:v>
      </x:c>
      <x:c r="E10" s="133" t="n">
        <x:v>0.75</x:v>
      </x:c>
      <x:c r="F10" s="108"/>
      <x:c r="G10" s="108"/>
      <x:c r="H10" s="108"/>
      <x:c r="I10" s="108"/>
      <x:c r="J10" s="108"/>
      <x:c r="K10" s="108"/>
      <x:c r="L10" s="108"/>
    </x:row>
    <x:row r="11">
      <x:c r="A11" s="130" t="str">
        <x:v>residential_real_estate</x:v>
      </x:c>
      <x:c r="B11" s="132" t="n">
        <x:v>4231.114864326715</x:v>
      </x:c>
      <x:c r="C11" s="132" t="n">
        <x:v>4231.114864326715</x:v>
      </x:c>
      <x:c r="D11" s="132" t="n">
        <x:v>1412.8559740037292</x:v>
      </x:c>
      <x:c r="E11" s="133" t="n">
        <x:v>0.3387896617</x:v>
      </x:c>
      <x:c r="F11" s="108"/>
      <x:c r="G11" s="108"/>
      <x:c r="H11" s="108"/>
      <x:c r="I11" s="108"/>
      <x:c r="J11" s="108"/>
      <x:c r="K11" s="108"/>
      <x:c r="L11" s="108"/>
    </x:row>
    <x:row r="12">
      <x:c r="A12" s="130" t="str">
        <x:v>retail_transactor</x:v>
      </x:c>
      <x:c r="B12" s="132" t="n">
        <x:v>16.595837881879238</x:v>
      </x:c>
      <x:c r="C12" s="132" t="n">
        <x:v>16.595837881879238</x:v>
      </x:c>
      <x:c r="D12" s="132" t="n">
        <x:v>7.336783659514953</x:v>
      </x:c>
      <x:c r="E12" s="133" t="n">
        <x:v>0.45</x:v>
      </x:c>
      <x:c r="F12" s="108"/>
      <x:c r="G12" s="108"/>
      <x:c r="H12" s="108"/>
      <x:c r="I12" s="108"/>
      <x:c r="J12" s="108"/>
      <x:c r="K12" s="108"/>
      <x:c r="L12" s="108"/>
    </x:row>
    <x:row r="13">
      <x:c r="A13" s="130" t="str">
        <x:v>revolving_retail</x:v>
      </x:c>
      <x:c r="B13" s="132" t="n">
        <x:v>59.876394793925485</x:v>
      </x:c>
      <x:c r="C13" s="132" t="n">
        <x:v>59.876394793925485</x:v>
      </x:c>
      <x:c r="D13" s="132" t="n">
        <x:v>43.91196237781136</x:v>
      </x:c>
      <x:c r="E13" s="133" t="n">
        <x:v>0.75</x:v>
      </x:c>
      <x:c r="F13" s="108"/>
      <x:c r="G13" s="108"/>
      <x:c r="H13" s="108"/>
      <x:c r="I13" s="108"/>
      <x:c r="J13" s="108"/>
      <x:c r="K13" s="108"/>
      <x:c r="L13" s="108"/>
    </x:row>
    <x:row r="14">
      <x:c r="A14" s="135" t="str">
        <x:v>sovereign</x:v>
      </x:c>
      <x:c r="B14" s="137" t="n">
        <x:v>136283.66543546217</x:v>
      </x:c>
      <x:c r="C14" s="137" t="n">
        <x:v>136283.66543546217</x:v>
      </x:c>
      <x:c r="D14" s="137" t="n">
        <x:v>21393.80468057351</x:v>
      </x:c>
      <x:c r="E14" s="136" t="n">
        <x:v>0.1581550802</x:v>
      </x:c>
      <x:c r="F14" s="108"/>
      <x:c r="G14" s="108"/>
      <x:c r="H14" s="108"/>
      <x:c r="I14" s="108"/>
      <x:c r="J14" s="108"/>
      <x:c r="K14" s="108"/>
      <x:c r="L14" s="108"/>
    </x:row>
    <x:row r="15">
      <x:c r="A15" s="144" t="str">
        <x:v>Total SA Credit RWA</x:v>
      </x:c>
      <x:c r="B15" s="145"/>
      <x:c r="C15" s="145"/>
      <x:c r="D15" s="145" t="n">
        <x:f>SUM(D5:D14)</x:f>
        <x:v>406207.6904929024</x:v>
      </x:c>
      <x:c r="E15" s="144"/>
      <x:c r="F15" s="108"/>
      <x:c r="G15" s="108"/>
      <x:c r="H15" s="108"/>
      <x:c r="I15" s="108"/>
      <x:c r="J15" s="108"/>
      <x:c r="K15" s="108"/>
      <x:c r="L15" s="108"/>
    </x:row>
  </x:sheetData>
  <x:mergeCells>
    <x:mergeCell ref="A1:L1"/>
    <x:mergeCell ref="A2:L2"/>
    <x:mergeCell ref="A15:C15"/>
  </x:mergeCells>
  <x:pageMargins left="0.7" right="0.7" top="0.75" bottom="0.75" header="0.3" footer="0.3"/>
  <x:tableParts count="1">
    <x:tablePart xmlns:r="http://schemas.openxmlformats.org/officeDocument/2006/relationships" r:id="Rb98be1ff5dd64fd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6" hidden="0" customWidth="1"/>
    <x:col min="4" max="4" width="16" hidden="0" customWidth="1"/>
    <x:col min="5" max="5" width="18" hidden="0" customWidth="1"/>
    <x:col min="6" max="6" width="18" hidden="0" customWidth="1"/>
  </x:cols>
  <x:sheetData>
    <x:row r="1" ht="30" customHeight="1">
      <x:c r="A1" s="106" t="str">
        <x:v>IRB Credit RWA</x:v>
      </x:c>
      <x:c r="B1" s="106"/>
      <x:c r="C1" s="106"/>
      <x:c r="D1" s="106"/>
      <x:c r="E1" s="106"/>
      <x:c r="F1" s="106"/>
      <x:c r="G1" s="106"/>
      <x:c r="H1" s="106"/>
      <x:c r="I1" s="106"/>
      <x:c r="J1" s="106"/>
      <x:c r="K1" s="106"/>
      <x:c r="L1" s="106"/>
    </x:row>
    <x:row r="2" ht="24" customHeight="1">
      <x:c r="A2" s="107" t="str">
        <x:v>PD, LGD, EAD, expected loss and unexpected-loss RWA by regulatory class | INR crore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30" customHeight="1">
      <x:c r="A4" s="122" t="str">
        <x:v>Basel Exposure Class</x:v>
      </x:c>
      <x:c r="B4" s="124" t="str">
        <x:v>Ead (INR crore)</x:v>
      </x:c>
      <x:c r="C4" s="124" t="str">
        <x:v>Weighted Pd</x:v>
      </x:c>
      <x:c r="D4" s="124" t="str">
        <x:v>Weighted Lgd</x:v>
      </x:c>
      <x:c r="E4" s="124" t="str">
        <x:v>Expected Loss (INR crore)</x:v>
      </x:c>
      <x:c r="F4" s="123" t="str">
        <x:v>Irb Rwa (INR crore)</x:v>
      </x:c>
      <x:c r="G4" s="108"/>
      <x:c r="H4" s="108"/>
      <x:c r="I4" s="108"/>
      <x:c r="J4" s="108"/>
      <x:c r="K4" s="108"/>
      <x:c r="L4" s="108"/>
    </x:row>
    <x:row r="5">
      <x:c r="A5" s="125" t="str">
        <x:v>bank</x:v>
      </x:c>
      <x:c r="B5" s="127" t="n">
        <x:v>86076.16497439815</x:v>
      </x:c>
      <x:c r="C5" s="128" t="n">
        <x:v>0.0028724928</x:v>
      </x:c>
      <x:c r="D5" s="128" t="n">
        <x:v>0.7481433813</x:v>
      </x:c>
      <x:c r="E5" s="127" t="n">
        <x:v>217.51884219352294</x:v>
      </x:c>
      <x:c r="F5" s="127" t="n">
        <x:v>48316.007832624324</x:v>
      </x:c>
      <x:c r="G5" s="108"/>
      <x:c r="H5" s="108"/>
      <x:c r="I5" s="108"/>
      <x:c r="J5" s="108"/>
      <x:c r="K5" s="108"/>
      <x:c r="L5" s="108"/>
    </x:row>
    <x:row r="6">
      <x:c r="A6" s="130" t="str">
        <x:v>corporate</x:v>
      </x:c>
      <x:c r="B6" s="132" t="n">
        <x:v>474975.03644523985</x:v>
      </x:c>
      <x:c r="C6" s="133" t="n">
        <x:v>0.0151038111</x:v>
      </x:c>
      <x:c r="D6" s="133" t="n">
        <x:v>0.8565702577</x:v>
      </x:c>
      <x:c r="E6" s="132" t="n">
        <x:v>6373.495212371627</x:v>
      </x:c>
      <x:c r="F6" s="132" t="n">
        <x:v>608677.0770615615</x:v>
      </x:c>
      <x:c r="G6" s="108"/>
      <x:c r="H6" s="108"/>
      <x:c r="I6" s="108"/>
      <x:c r="J6" s="108"/>
      <x:c r="K6" s="108"/>
      <x:c r="L6" s="108"/>
    </x:row>
    <x:row r="7">
      <x:c r="A7" s="130" t="str">
        <x:v>corporate_sme</x:v>
      </x:c>
      <x:c r="B7" s="132" t="n">
        <x:v>23902.488465914797</x:v>
      </x:c>
      <x:c r="C7" s="133" t="n">
        <x:v>0.0289094186</x:v>
      </x:c>
      <x:c r="D7" s="133" t="n">
        <x:v>0.9017523702</x:v>
      </x:c>
      <x:c r="E7" s="132" t="n">
        <x:v>627.4723073643232</x:v>
      </x:c>
      <x:c r="F7" s="132" t="n">
        <x:v>38268.475394656554</x:v>
      </x:c>
      <x:c r="G7" s="108"/>
      <x:c r="H7" s="108"/>
      <x:c r="I7" s="108"/>
      <x:c r="J7" s="108"/>
      <x:c r="K7" s="108"/>
      <x:c r="L7" s="108"/>
    </x:row>
    <x:row r="8">
      <x:c r="A8" s="130" t="str">
        <x:v>defaulted</x:v>
      </x:c>
      <x:c r="B8" s="132" t="n">
        <x:v>6846.527818410888</x:v>
      </x:c>
      <x:c r="C8" s="133" t="n">
        <x:v>1</x:v>
      </x:c>
      <x:c r="D8" s="133" t="n">
        <x:v>0.8286464016</x:v>
      </x:c>
      <x:c r="E8" s="132" t="n">
        <x:v>5856.790243326718</x:v>
      </x:c>
      <x:c r="F8" s="132" t="n">
        <x:v>0</x:v>
      </x:c>
      <x:c r="G8" s="108"/>
      <x:c r="H8" s="108"/>
      <x:c r="I8" s="108"/>
      <x:c r="J8" s="108"/>
      <x:c r="K8" s="108"/>
      <x:c r="L8" s="108"/>
    </x:row>
    <x:row r="9">
      <x:c r="A9" s="130" t="str">
        <x:v>other</x:v>
      </x:c>
      <x:c r="B9" s="132" t="n">
        <x:v>1296.7126752615732</x:v>
      </x:c>
      <x:c r="C9" s="133" t="n">
        <x:v>0.0316541315</x:v>
      </x:c>
      <x:c r="D9" s="133" t="n">
        <x:v>0.9888634863</x:v>
      </x:c>
      <x:c r="E9" s="132" t="n">
        <x:v>38.16953584072139</x:v>
      </x:c>
      <x:c r="F9" s="132" t="n">
        <x:v>2843.8946622154044</x:v>
      </x:c>
      <x:c r="G9" s="108"/>
      <x:c r="H9" s="108"/>
      <x:c r="I9" s="108"/>
      <x:c r="J9" s="108"/>
      <x:c r="K9" s="108"/>
      <x:c r="L9" s="108"/>
    </x:row>
    <x:row r="10">
      <x:c r="A10" s="130" t="str">
        <x:v>regulatory_retail</x:v>
      </x:c>
      <x:c r="B10" s="132" t="n">
        <x:v>488.5652336979505</x:v>
      </x:c>
      <x:c r="C10" s="133" t="n">
        <x:v>0.0341651598</x:v>
      </x:c>
      <x:c r="D10" s="133" t="n">
        <x:v>0.9988634863</x:v>
      </x:c>
      <x:c r="E10" s="132" t="n">
        <x:v>16.657079068576024</x:v>
      </x:c>
      <x:c r="F10" s="132" t="n">
        <x:v>526.1922652845958</x:v>
      </x:c>
      <x:c r="G10" s="108"/>
      <x:c r="H10" s="108"/>
      <x:c r="I10" s="108"/>
      <x:c r="J10" s="108"/>
      <x:c r="K10" s="108"/>
      <x:c r="L10" s="108"/>
    </x:row>
    <x:row r="11">
      <x:c r="A11" s="130" t="str">
        <x:v>residential_real_estate</x:v>
      </x:c>
      <x:c r="B11" s="132" t="n">
        <x:v>4231.114864326715</x:v>
      </x:c>
      <x:c r="C11" s="133" t="n">
        <x:v>0.0140550011</x:v>
      </x:c>
      <x:c r="D11" s="133" t="n">
        <x:v>0.278715329</x:v>
      </x:c>
      <x:c r="E11" s="132" t="n">
        <x:v>16.63265552015742</x:v>
      </x:c>
      <x:c r="F11" s="132" t="n">
        <x:v>1282.3197817563369</x:v>
      </x:c>
      <x:c r="G11" s="108"/>
      <x:c r="H11" s="108"/>
      <x:c r="I11" s="108"/>
      <x:c r="J11" s="108"/>
      <x:c r="K11" s="108"/>
      <x:c r="L11" s="108"/>
    </x:row>
    <x:row r="12">
      <x:c r="A12" s="130" t="str">
        <x:v>retail_transactor</x:v>
      </x:c>
      <x:c r="B12" s="132" t="n">
        <x:v>17.551111631538326</x:v>
      </x:c>
      <x:c r="C12" s="133" t="n">
        <x:v>0.04055152</x:v>
      </x:c>
      <x:c r="D12" s="133" t="n">
        <x:v>1</x:v>
      </x:c>
      <x:c r="E12" s="132" t="n">
        <x:v>0.6898758379900805</x:v>
      </x:c>
      <x:c r="F12" s="132" t="n">
        <x:v>45.00971625825575</x:v>
      </x:c>
      <x:c r="G12" s="108"/>
      <x:c r="H12" s="108"/>
      <x:c r="I12" s="108"/>
      <x:c r="J12" s="108"/>
      <x:c r="K12" s="108"/>
      <x:c r="L12" s="108"/>
    </x:row>
    <x:row r="13">
      <x:c r="A13" s="130" t="str">
        <x:v>revolving_retail</x:v>
      </x:c>
      <x:c r="B13" s="132" t="n">
        <x:v>63.291730164368914</x:v>
      </x:c>
      <x:c r="C13" s="133" t="n">
        <x:v>0.040444861</x:v>
      </x:c>
      <x:c r="D13" s="133" t="n">
        <x:v>1</x:v>
      </x:c>
      <x:c r="E13" s="132" t="n">
        <x:v>2.607708694235685</x:v>
      </x:c>
      <x:c r="F13" s="132" t="n">
        <x:v>51.60413824052762</x:v>
      </x:c>
      <x:c r="G13" s="108"/>
      <x:c r="H13" s="108"/>
      <x:c r="I13" s="108"/>
      <x:c r="J13" s="108"/>
      <x:c r="K13" s="108"/>
      <x:c r="L13" s="108"/>
    </x:row>
    <x:row r="14">
      <x:c r="A14" s="135" t="str">
        <x:v>sovereign</x:v>
      </x:c>
      <x:c r="B14" s="137" t="n">
        <x:v>136283.66543546217</x:v>
      </x:c>
      <x:c r="C14" s="136" t="n">
        <x:v>0.000849746</x:v>
      </x:c>
      <x:c r="D14" s="136" t="n">
        <x:v>0.7621587156</x:v>
      </x:c>
      <x:c r="E14" s="137" t="n">
        <x:v>85.28212471886066</x:v>
      </x:c>
      <x:c r="F14" s="137" t="n">
        <x:v>28665.82682924301</x:v>
      </x:c>
      <x:c r="G14" s="108"/>
      <x:c r="H14" s="108"/>
      <x:c r="I14" s="108"/>
      <x:c r="J14" s="108"/>
      <x:c r="K14" s="108"/>
      <x:c r="L14" s="108"/>
    </x:row>
    <x:row r="15">
      <x:c r="A15" s="144" t="str">
        <x:v>Total IRB Credit RWA</x:v>
      </x:c>
      <x:c r="B15" s="144"/>
      <x:c r="C15" s="144"/>
      <x:c r="D15" s="144"/>
      <x:c r="E15" s="145"/>
      <x:c r="F15" s="145" t="n">
        <x:f>SUM(F5:F14)</x:f>
        <x:v>728676.4076818406</x:v>
      </x:c>
      <x:c r="G15" s="108"/>
      <x:c r="H15" s="108"/>
      <x:c r="I15" s="108"/>
      <x:c r="J15" s="108"/>
      <x:c r="K15" s="108"/>
      <x:c r="L15" s="108"/>
    </x:row>
  </x:sheetData>
  <x:mergeCells>
    <x:mergeCell ref="A1:L1"/>
    <x:mergeCell ref="A2:L2"/>
    <x:mergeCell ref="A15:E15"/>
  </x:mergeCells>
  <x:pageMargins left="0.7" right="0.7" top="0.75" bottom="0.75" header="0.3" footer="0.3"/>
  <x:tableParts count="1">
    <x:tablePart xmlns:r="http://schemas.openxmlformats.org/officeDocument/2006/relationships" r:id="Rb06bf05ae3454f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18" hidden="0" customWidth="1"/>
  </x:cols>
  <x:sheetData>
    <x:row r="1" ht="30" customHeight="1">
      <x:c r="A1" s="106" t="str">
        <x:v>SA versus IRB and Output Floor</x:v>
      </x:c>
      <x:c r="B1" s="106"/>
      <x:c r="C1" s="106"/>
      <x:c r="D1" s="106"/>
      <x:c r="E1" s="106"/>
      <x:c r="F1" s="106"/>
      <x:c r="G1" s="106"/>
      <x:c r="H1" s="106"/>
      <x:c r="I1" s="106"/>
      <x:c r="J1" s="106"/>
      <x:c r="K1" s="106"/>
      <x:c r="L1" s="106"/>
    </x:row>
    <x:row r="2" ht="24" customHeight="1">
      <x:c r="A2" s="107" t="str">
        <x:v>Approach comparison by class and aggregate bank-level output-floor logic</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30" customHeight="1">
      <x:c r="A4" s="122" t="str">
        <x:v>Exposure Class</x:v>
      </x:c>
      <x:c r="B4" s="124" t="str">
        <x:v>Sa Rwa (INR crore)</x:v>
      </x:c>
      <x:c r="C4" s="124" t="str">
        <x:v>Irb Rwa (INR crore)</x:v>
      </x:c>
      <x:c r="D4" s="124" t="str">
        <x:v>Difference (INR crore)</x:v>
      </x:c>
      <x:c r="E4" s="123" t="str">
        <x:v>Irb To Sa</x:v>
      </x:c>
      <x:c r="F4" s="108"/>
      <x:c r="G4" s="108"/>
      <x:c r="H4" s="108"/>
      <x:c r="I4" s="108"/>
      <x:c r="J4" s="108"/>
      <x:c r="K4" s="108"/>
      <x:c r="L4" s="108"/>
    </x:row>
    <x:row r="5">
      <x:c r="A5" s="125" t="str">
        <x:v>bank</x:v>
      </x:c>
      <x:c r="B5" s="127" t="n">
        <x:v>30429.420773156085</x:v>
      </x:c>
      <x:c r="C5" s="127" t="n">
        <x:v>48316.007832624324</x:v>
      </x:c>
      <x:c r="D5" s="127" t="n">
        <x:v>17886.58705946824</x:v>
      </x:c>
      <x:c r="E5" s="146" t="n">
        <x:v>1.5878057026720418</x:v>
      </x:c>
      <x:c r="F5" s="108"/>
      <x:c r="G5" s="108"/>
      <x:c r="H5" s="108"/>
      <x:c r="I5" s="108"/>
      <x:c r="J5" s="108"/>
      <x:c r="K5" s="108"/>
      <x:c r="L5" s="108"/>
    </x:row>
    <x:row r="6">
      <x:c r="A6" s="130" t="str">
        <x:v>corporate</x:v>
      </x:c>
      <x:c r="B6" s="132" t="n">
        <x:v>323943.3793049858</x:v>
      </x:c>
      <x:c r="C6" s="132" t="n">
        <x:v>608677.0770615615</x:v>
      </x:c>
      <x:c r="D6" s="132" t="n">
        <x:v>284733.6977565757</x:v>
      </x:c>
      <x:c r="E6" s="147" t="n">
        <x:v>1.8789613122128512</x:v>
      </x:c>
      <x:c r="F6" s="108"/>
      <x:c r="G6" s="108"/>
      <x:c r="H6" s="108"/>
      <x:c r="I6" s="108"/>
      <x:c r="J6" s="108"/>
      <x:c r="K6" s="108"/>
      <x:c r="L6" s="108"/>
    </x:row>
    <x:row r="7">
      <x:c r="A7" s="130" t="str">
        <x:v>corporate_sme</x:v>
      </x:c>
      <x:c r="B7" s="132" t="n">
        <x:v>18194.208263272943</x:v>
      </x:c>
      <x:c r="C7" s="132" t="n">
        <x:v>38268.475394656554</x:v>
      </x:c>
      <x:c r="D7" s="132" t="n">
        <x:v>20074.26713138361</x:v>
      </x:c>
      <x:c r="E7" s="147" t="n">
        <x:v>2.1033328211321938</x:v>
      </x:c>
      <x:c r="F7" s="108"/>
      <x:c r="G7" s="108"/>
      <x:c r="H7" s="108"/>
      <x:c r="I7" s="108"/>
      <x:c r="J7" s="108"/>
      <x:c r="K7" s="108"/>
      <x:c r="L7" s="108"/>
    </x:row>
    <x:row r="8">
      <x:c r="A8" s="130" t="str">
        <x:v>defaulted</x:v>
      </x:c>
      <x:c r="B8" s="132" t="n">
        <x:v>9265.201245969505</x:v>
      </x:c>
      <x:c r="C8" s="132" t="n">
        <x:v>0</x:v>
      </x:c>
      <x:c r="D8" s="132" t="n">
        <x:v>-9265.201245969505</x:v>
      </x:c>
      <x:c r="E8" s="147" t="n">
        <x:v>0</x:v>
      </x:c>
      <x:c r="F8" s="108"/>
      <x:c r="G8" s="108"/>
      <x:c r="H8" s="108"/>
      <x:c r="I8" s="108"/>
      <x:c r="J8" s="108"/>
      <x:c r="K8" s="108"/>
      <x:c r="L8" s="108"/>
    </x:row>
    <x:row r="9">
      <x:c r="A9" s="130" t="str">
        <x:v>other</x:v>
      </x:c>
      <x:c r="B9" s="132" t="n">
        <x:v>1161.1700797360543</x:v>
      </x:c>
      <x:c r="C9" s="132" t="n">
        <x:v>2843.8946622154044</x:v>
      </x:c>
      <x:c r="D9" s="132" t="n">
        <x:v>1682.7245824793501</x:v>
      </x:c>
      <x:c r="E9" s="147" t="n">
        <x:v>2.4491628847876017</x:v>
      </x:c>
      <x:c r="F9" s="108"/>
      <x:c r="G9" s="108"/>
      <x:c r="H9" s="108"/>
      <x:c r="I9" s="108"/>
      <x:c r="J9" s="108"/>
      <x:c r="K9" s="108"/>
      <x:c r="L9" s="108"/>
    </x:row>
    <x:row r="10">
      <x:c r="A10" s="130" t="str">
        <x:v>regulatory_retail</x:v>
      </x:c>
      <x:c r="B10" s="132" t="n">
        <x:v>356.4014251673766</x:v>
      </x:c>
      <x:c r="C10" s="132" t="n">
        <x:v>526.1922652845958</x:v>
      </x:c>
      <x:c r="D10" s="132" t="n">
        <x:v>169.7908401172192</x:v>
      </x:c>
      <x:c r="E10" s="147" t="n">
        <x:v>1.4764033702656505</x:v>
      </x:c>
      <x:c r="F10" s="108"/>
      <x:c r="G10" s="108"/>
      <x:c r="H10" s="108"/>
      <x:c r="I10" s="108"/>
      <x:c r="J10" s="108"/>
      <x:c r="K10" s="108"/>
      <x:c r="L10" s="108"/>
    </x:row>
    <x:row r="11">
      <x:c r="A11" s="130" t="str">
        <x:v>residential_real_estate</x:v>
      </x:c>
      <x:c r="B11" s="132" t="n">
        <x:v>1412.8559740037292</x:v>
      </x:c>
      <x:c r="C11" s="132" t="n">
        <x:v>1282.3197817563369</x:v>
      </x:c>
      <x:c r="D11" s="132" t="n">
        <x:v>-130.53619224739236</x:v>
      </x:c>
      <x:c r="E11" s="147" t="n">
        <x:v>0.9076082809223074</x:v>
      </x:c>
      <x:c r="F11" s="108"/>
      <x:c r="G11" s="108"/>
      <x:c r="H11" s="108"/>
      <x:c r="I11" s="108"/>
      <x:c r="J11" s="108"/>
      <x:c r="K11" s="108"/>
      <x:c r="L11" s="108"/>
    </x:row>
    <x:row r="12">
      <x:c r="A12" s="130" t="str">
        <x:v>retail_transactor</x:v>
      </x:c>
      <x:c r="B12" s="132" t="n">
        <x:v>7.336783659514953</x:v>
      </x:c>
      <x:c r="C12" s="132" t="n">
        <x:v>45.00971625825575</x:v>
      </x:c>
      <x:c r="D12" s="132" t="n">
        <x:v>37.6729325987408</x:v>
      </x:c>
      <x:c r="E12" s="147" t="n">
        <x:v>6.134802162236771</x:v>
      </x:c>
      <x:c r="F12" s="108"/>
      <x:c r="G12" s="108"/>
      <x:c r="H12" s="108"/>
      <x:c r="I12" s="108"/>
      <x:c r="J12" s="108"/>
      <x:c r="K12" s="108"/>
      <x:c r="L12" s="108"/>
    </x:row>
    <x:row r="13">
      <x:c r="A13" s="130" t="str">
        <x:v>revolving_retail</x:v>
      </x:c>
      <x:c r="B13" s="132" t="n">
        <x:v>43.91196237781136</x:v>
      </x:c>
      <x:c r="C13" s="132" t="n">
        <x:v>51.60413824052762</x:v>
      </x:c>
      <x:c r="D13" s="132" t="n">
        <x:v>7.692175862716255</x:v>
      </x:c>
      <x:c r="E13" s="147" t="n">
        <x:v>1.1751726738271004</x:v>
      </x:c>
      <x:c r="F13" s="108"/>
      <x:c r="G13" s="108"/>
      <x:c r="H13" s="108"/>
      <x:c r="I13" s="108"/>
      <x:c r="J13" s="108"/>
      <x:c r="K13" s="108"/>
      <x:c r="L13" s="108"/>
    </x:row>
    <x:row r="14">
      <x:c r="A14" s="135" t="str">
        <x:v>sovereign</x:v>
      </x:c>
      <x:c r="B14" s="137" t="n">
        <x:v>21393.80468057351</x:v>
      </x:c>
      <x:c r="C14" s="137" t="n">
        <x:v>28665.82682924301</x:v>
      </x:c>
      <x:c r="D14" s="137" t="n">
        <x:v>7272.022148669501</x:v>
      </x:c>
      <x:c r="E14" s="148" t="n">
        <x:v>1.3399125240809928</x:v>
      </x:c>
      <x:c r="F14" s="108"/>
      <x:c r="G14" s="108"/>
      <x:c r="H14" s="108"/>
      <x:c r="I14" s="108"/>
      <x:c r="J14" s="108"/>
      <x:c r="K14" s="108"/>
      <x:c r="L14" s="108"/>
    </x:row>
    <x:row r="15">
      <x:c r="A15" s="108"/>
      <x:c r="B15" s="108"/>
      <x:c r="C15" s="108"/>
      <x:c r="D15" s="108"/>
      <x:c r="E15" s="108"/>
      <x:c r="F15" s="108"/>
      <x:c r="G15" s="108"/>
      <x:c r="H15" s="108"/>
      <x:c r="I15" s="108"/>
      <x:c r="J15" s="108"/>
      <x:c r="K15" s="108"/>
      <x:c r="L15" s="108"/>
    </x:row>
    <x:row r="16" ht="22" customHeight="1">
      <x:c r="A16" s="109" t="str">
        <x:v>Aggregate output-floor calculation | INR crore except rate</x:v>
      </x:c>
      <x:c r="B16" s="109"/>
      <x:c r="C16" s="109"/>
      <x:c r="D16" s="109"/>
      <x:c r="E16" s="109"/>
      <x:c r="F16" s="108"/>
      <x:c r="G16" s="108"/>
      <x:c r="H16" s="108"/>
      <x:c r="I16" s="108"/>
      <x:c r="J16" s="108"/>
      <x:c r="K16" s="108"/>
      <x:c r="L16" s="108"/>
    </x:row>
    <x:row r="17" ht="30" customHeight="1">
      <x:c r="A17" s="122" t="str">
        <x:v>Scenario</x:v>
      </x:c>
      <x:c r="B17" s="124" t="str">
        <x:v>Metric</x:v>
      </x:c>
      <x:c r="C17" s="124" t="str">
        <x:v>Value</x:v>
      </x:c>
      <x:c r="D17" s="123" t="str">
        <x:v>Floor Binding</x:v>
      </x:c>
      <x:c r="E17" s="108"/>
      <x:c r="F17" s="108"/>
      <x:c r="G17" s="108"/>
      <x:c r="H17" s="108"/>
      <x:c r="I17" s="108"/>
      <x:c r="J17" s="108"/>
      <x:c r="K17" s="108"/>
      <x:c r="L17" s="108"/>
    </x:row>
    <x:row r="18">
      <x:c r="A18" s="125" t="str">
        <x:v>base</x:v>
      </x:c>
      <x:c r="B18" s="125" t="str">
        <x:v>SA Credit RWA</x:v>
      </x:c>
      <x:c r="C18" s="127" t="n">
        <x:v>406207.69049290236</x:v>
      </x:c>
      <x:c r="D18" s="149" t="b">
        <x:v>0</x:v>
      </x:c>
      <x:c r="E18" s="108"/>
      <x:c r="F18" s="108"/>
      <x:c r="G18" s="108"/>
      <x:c r="H18" s="108"/>
      <x:c r="I18" s="108"/>
      <x:c r="J18" s="108"/>
      <x:c r="K18" s="108"/>
      <x:c r="L18" s="108"/>
    </x:row>
    <x:row r="19">
      <x:c r="A19" s="130" t="str">
        <x:v>base</x:v>
      </x:c>
      <x:c r="B19" s="130" t="str">
        <x:v>IRB Credit RWA</x:v>
      </x:c>
      <x:c r="C19" s="132" t="n">
        <x:v>728676.4076818405</x:v>
      </x:c>
      <x:c r="D19" s="150" t="b">
        <x:v>0</x:v>
      </x:c>
      <x:c r="E19" s="108"/>
      <x:c r="F19" s="108"/>
      <x:c r="G19" s="108"/>
      <x:c r="H19" s="108"/>
      <x:c r="I19" s="108"/>
      <x:c r="J19" s="108"/>
      <x:c r="K19" s="108"/>
      <x:c r="L19" s="108"/>
    </x:row>
    <x:row r="20">
      <x:c r="A20" s="130" t="str">
        <x:v>base</x:v>
      </x:c>
      <x:c r="B20" s="130" t="str">
        <x:v>Standardised aggregate RWA base</x:v>
      </x:c>
      <x:c r="C20" s="132" t="n">
        <x:v>431207.69049290236</x:v>
      </x:c>
      <x:c r="D20" s="150" t="b">
        <x:v>0</x:v>
      </x:c>
      <x:c r="E20" s="108"/>
      <x:c r="F20" s="108"/>
      <x:c r="G20" s="108"/>
      <x:c r="H20" s="108"/>
      <x:c r="I20" s="108"/>
      <x:c r="J20" s="108"/>
      <x:c r="K20" s="108"/>
      <x:c r="L20" s="108"/>
    </x:row>
    <x:row r="21">
      <x:c r="A21" s="130" t="str">
        <x:v>base</x:v>
      </x:c>
      <x:c r="B21" s="130" t="str">
        <x:v>Pre-floor model aggregate RWA</x:v>
      </x:c>
      <x:c r="C21" s="132" t="n">
        <x:v>753676.4076818405</x:v>
      </x:c>
      <x:c r="D21" s="150" t="b">
        <x:v>0</x:v>
      </x:c>
      <x:c r="E21" s="108"/>
      <x:c r="F21" s="108"/>
      <x:c r="G21" s="108"/>
      <x:c r="H21" s="108"/>
      <x:c r="I21" s="108"/>
      <x:c r="J21" s="108"/>
      <x:c r="K21" s="108"/>
      <x:c r="L21" s="108"/>
    </x:row>
    <x:row r="22">
      <x:c r="A22" s="130" t="str">
        <x:v>base</x:v>
      </x:c>
      <x:c r="B22" s="130" t="str">
        <x:v>Output-floor rate</x:v>
      </x:c>
      <x:c r="C22" s="133" t="n">
        <x:v>0.65</x:v>
      </x:c>
      <x:c r="D22" s="150" t="b">
        <x:v>0</x:v>
      </x:c>
      <x:c r="E22" s="108"/>
      <x:c r="F22" s="108"/>
      <x:c r="G22" s="108"/>
      <x:c r="H22" s="108"/>
      <x:c r="I22" s="108"/>
      <x:c r="J22" s="108"/>
      <x:c r="K22" s="108"/>
      <x:c r="L22" s="108"/>
    </x:row>
    <x:row r="23">
      <x:c r="A23" s="130" t="str">
        <x:v>base</x:v>
      </x:c>
      <x:c r="B23" s="130" t="str">
        <x:v>Output-floor amount</x:v>
      </x:c>
      <x:c r="C23" s="132" t="n">
        <x:v>280284.99882038654</x:v>
      </x:c>
      <x:c r="D23" s="150" t="b">
        <x:v>0</x:v>
      </x:c>
      <x:c r="E23" s="108"/>
      <x:c r="F23" s="108"/>
      <x:c r="G23" s="108"/>
      <x:c r="H23" s="108"/>
      <x:c r="I23" s="108"/>
      <x:c r="J23" s="108"/>
      <x:c r="K23" s="108"/>
      <x:c r="L23" s="108"/>
    </x:row>
    <x:row r="24">
      <x:c r="A24" s="130" t="str">
        <x:v>base</x:v>
      </x:c>
      <x:c r="B24" s="130" t="str">
        <x:v>Final aggregate RWA</x:v>
      </x:c>
      <x:c r="C24" s="132" t="n">
        <x:v>753676.4076818405</x:v>
      </x:c>
      <x:c r="D24" s="150" t="b">
        <x:v>0</x:v>
      </x:c>
      <x:c r="E24" s="108"/>
      <x:c r="F24" s="108"/>
      <x:c r="G24" s="108"/>
      <x:c r="H24" s="108"/>
      <x:c r="I24" s="108"/>
      <x:c r="J24" s="108"/>
      <x:c r="K24" s="108"/>
      <x:c r="L24" s="108"/>
    </x:row>
    <x:row r="25">
      <x:c r="A25" s="130" t="str">
        <x:v>base</x:v>
      </x:c>
      <x:c r="B25" s="130" t="str">
        <x:v>Floor uplift</x:v>
      </x:c>
      <x:c r="C25" s="132" t="n">
        <x:v>0</x:v>
      </x:c>
      <x:c r="D25" s="150" t="b">
        <x:v>0</x:v>
      </x:c>
      <x:c r="E25" s="108"/>
      <x:c r="F25" s="108"/>
      <x:c r="G25" s="108"/>
      <x:c r="H25" s="108"/>
      <x:c r="I25" s="108"/>
      <x:c r="J25" s="108"/>
      <x:c r="K25" s="108"/>
      <x:c r="L25" s="108"/>
    </x:row>
    <x:row r="26">
      <x:c r="A26" s="130" t="str">
        <x:v>adverse</x:v>
      </x:c>
      <x:c r="B26" s="130" t="str">
        <x:v>SA Credit RWA</x:v>
      </x:c>
      <x:c r="C26" s="132" t="n">
        <x:v>439259.3643725884</x:v>
      </x:c>
      <x:c r="D26" s="150" t="b">
        <x:v>0</x:v>
      </x:c>
      <x:c r="E26" s="108"/>
      <x:c r="F26" s="108"/>
      <x:c r="G26" s="108"/>
      <x:c r="H26" s="108"/>
      <x:c r="I26" s="108"/>
      <x:c r="J26" s="108"/>
      <x:c r="K26" s="108"/>
      <x:c r="L26" s="108"/>
    </x:row>
    <x:row r="27">
      <x:c r="A27" s="130" t="str">
        <x:v>adverse</x:v>
      </x:c>
      <x:c r="B27" s="130" t="str">
        <x:v>IRB Credit RWA</x:v>
      </x:c>
      <x:c r="C27" s="132" t="n">
        <x:v>976102.9494243957</x:v>
      </x:c>
      <x:c r="D27" s="150" t="b">
        <x:v>0</x:v>
      </x:c>
      <x:c r="E27" s="108"/>
      <x:c r="F27" s="108"/>
      <x:c r="G27" s="108"/>
      <x:c r="H27" s="108"/>
      <x:c r="I27" s="108"/>
      <x:c r="J27" s="108"/>
      <x:c r="K27" s="108"/>
      <x:c r="L27" s="108"/>
    </x:row>
    <x:row r="28">
      <x:c r="A28" s="130" t="str">
        <x:v>adverse</x:v>
      </x:c>
      <x:c r="B28" s="130" t="str">
        <x:v>Standardised aggregate RWA base</x:v>
      </x:c>
      <x:c r="C28" s="132" t="n">
        <x:v>464259.3643725884</x:v>
      </x:c>
      <x:c r="D28" s="150" t="b">
        <x:v>0</x:v>
      </x:c>
      <x:c r="E28" s="108"/>
      <x:c r="F28" s="108"/>
      <x:c r="G28" s="108"/>
      <x:c r="H28" s="108"/>
      <x:c r="I28" s="108"/>
      <x:c r="J28" s="108"/>
      <x:c r="K28" s="108"/>
      <x:c r="L28" s="108"/>
    </x:row>
    <x:row r="29">
      <x:c r="A29" s="130" t="str">
        <x:v>adverse</x:v>
      </x:c>
      <x:c r="B29" s="130" t="str">
        <x:v>Pre-floor model aggregate RWA</x:v>
      </x:c>
      <x:c r="C29" s="132" t="n">
        <x:v>1001102.9494243957</x:v>
      </x:c>
      <x:c r="D29" s="150" t="b">
        <x:v>0</x:v>
      </x:c>
      <x:c r="E29" s="108"/>
      <x:c r="F29" s="108"/>
      <x:c r="G29" s="108"/>
      <x:c r="H29" s="108"/>
      <x:c r="I29" s="108"/>
      <x:c r="J29" s="108"/>
      <x:c r="K29" s="108"/>
      <x:c r="L29" s="108"/>
    </x:row>
    <x:row r="30">
      <x:c r="A30" s="130" t="str">
        <x:v>adverse</x:v>
      </x:c>
      <x:c r="B30" s="130" t="str">
        <x:v>Output-floor rate</x:v>
      </x:c>
      <x:c r="C30" s="133" t="n">
        <x:v>0.65</x:v>
      </x:c>
      <x:c r="D30" s="150" t="b">
        <x:v>0</x:v>
      </x:c>
      <x:c r="E30" s="108"/>
      <x:c r="F30" s="108"/>
      <x:c r="G30" s="108"/>
      <x:c r="H30" s="108"/>
      <x:c r="I30" s="108"/>
      <x:c r="J30" s="108"/>
      <x:c r="K30" s="108"/>
      <x:c r="L30" s="108"/>
    </x:row>
    <x:row r="31">
      <x:c r="A31" s="130" t="str">
        <x:v>adverse</x:v>
      </x:c>
      <x:c r="B31" s="130" t="str">
        <x:v>Output-floor amount</x:v>
      </x:c>
      <x:c r="C31" s="132" t="n">
        <x:v>301768.58684218244</x:v>
      </x:c>
      <x:c r="D31" s="150" t="b">
        <x:v>0</x:v>
      </x:c>
      <x:c r="E31" s="108"/>
      <x:c r="F31" s="108"/>
      <x:c r="G31" s="108"/>
      <x:c r="H31" s="108"/>
      <x:c r="I31" s="108"/>
      <x:c r="J31" s="108"/>
      <x:c r="K31" s="108"/>
      <x:c r="L31" s="108"/>
    </x:row>
    <x:row r="32">
      <x:c r="A32" s="130" t="str">
        <x:v>adverse</x:v>
      </x:c>
      <x:c r="B32" s="130" t="str">
        <x:v>Final aggregate RWA</x:v>
      </x:c>
      <x:c r="C32" s="132" t="n">
        <x:v>1001102.9494243957</x:v>
      </x:c>
      <x:c r="D32" s="150" t="b">
        <x:v>0</x:v>
      </x:c>
      <x:c r="E32" s="108"/>
      <x:c r="F32" s="108"/>
      <x:c r="G32" s="108"/>
      <x:c r="H32" s="108"/>
      <x:c r="I32" s="108"/>
      <x:c r="J32" s="108"/>
      <x:c r="K32" s="108"/>
      <x:c r="L32" s="108"/>
    </x:row>
    <x:row r="33">
      <x:c r="A33" s="130" t="str">
        <x:v>adverse</x:v>
      </x:c>
      <x:c r="B33" s="130" t="str">
        <x:v>Floor uplift</x:v>
      </x:c>
      <x:c r="C33" s="132" t="n">
        <x:v>0</x:v>
      </x:c>
      <x:c r="D33" s="150" t="b">
        <x:v>0</x:v>
      </x:c>
      <x:c r="E33" s="108"/>
      <x:c r="F33" s="108"/>
      <x:c r="G33" s="108"/>
      <x:c r="H33" s="108"/>
      <x:c r="I33" s="108"/>
      <x:c r="J33" s="108"/>
      <x:c r="K33" s="108"/>
      <x:c r="L33" s="108"/>
    </x:row>
    <x:row r="34">
      <x:c r="A34" s="130" t="str">
        <x:v>severe</x:v>
      </x:c>
      <x:c r="B34" s="130" t="str">
        <x:v>SA Credit RWA</x:v>
      </x:c>
      <x:c r="C34" s="132" t="n">
        <x:v>484985.19677965663</x:v>
      </x:c>
      <x:c r="D34" s="150" t="b">
        <x:v>0</x:v>
      </x:c>
      <x:c r="E34" s="108"/>
      <x:c r="F34" s="108"/>
      <x:c r="G34" s="108"/>
      <x:c r="H34" s="108"/>
      <x:c r="I34" s="108"/>
      <x:c r="J34" s="108"/>
      <x:c r="K34" s="108"/>
      <x:c r="L34" s="108"/>
    </x:row>
    <x:row r="35">
      <x:c r="A35" s="130" t="str">
        <x:v>severe</x:v>
      </x:c>
      <x:c r="B35" s="130" t="str">
        <x:v>IRB Credit RWA</x:v>
      </x:c>
      <x:c r="C35" s="132" t="n">
        <x:v>1267671.0865599755</x:v>
      </x:c>
      <x:c r="D35" s="150" t="b">
        <x:v>0</x:v>
      </x:c>
      <x:c r="E35" s="108"/>
      <x:c r="F35" s="108"/>
      <x:c r="G35" s="108"/>
      <x:c r="H35" s="108"/>
      <x:c r="I35" s="108"/>
      <x:c r="J35" s="108"/>
      <x:c r="K35" s="108"/>
      <x:c r="L35" s="108"/>
    </x:row>
    <x:row r="36">
      <x:c r="A36" s="130" t="str">
        <x:v>severe</x:v>
      </x:c>
      <x:c r="B36" s="130" t="str">
        <x:v>Standardised aggregate RWA base</x:v>
      </x:c>
      <x:c r="C36" s="132" t="n">
        <x:v>509985.19677965663</x:v>
      </x:c>
      <x:c r="D36" s="150" t="b">
        <x:v>0</x:v>
      </x:c>
      <x:c r="E36" s="108"/>
      <x:c r="F36" s="108"/>
      <x:c r="G36" s="108"/>
      <x:c r="H36" s="108"/>
      <x:c r="I36" s="108"/>
      <x:c r="J36" s="108"/>
      <x:c r="K36" s="108"/>
      <x:c r="L36" s="108"/>
    </x:row>
    <x:row r="37">
      <x:c r="A37" s="130" t="str">
        <x:v>severe</x:v>
      </x:c>
      <x:c r="B37" s="130" t="str">
        <x:v>Pre-floor model aggregate RWA</x:v>
      </x:c>
      <x:c r="C37" s="132" t="n">
        <x:v>1292671.0865599755</x:v>
      </x:c>
      <x:c r="D37" s="150" t="b">
        <x:v>0</x:v>
      </x:c>
      <x:c r="E37" s="108"/>
      <x:c r="F37" s="108"/>
      <x:c r="G37" s="108"/>
      <x:c r="H37" s="108"/>
      <x:c r="I37" s="108"/>
      <x:c r="J37" s="108"/>
      <x:c r="K37" s="108"/>
      <x:c r="L37" s="108"/>
    </x:row>
    <x:row r="38">
      <x:c r="A38" s="130" t="str">
        <x:v>severe</x:v>
      </x:c>
      <x:c r="B38" s="130" t="str">
        <x:v>Output-floor rate</x:v>
      </x:c>
      <x:c r="C38" s="133" t="n">
        <x:v>0.65</x:v>
      </x:c>
      <x:c r="D38" s="150" t="b">
        <x:v>0</x:v>
      </x:c>
      <x:c r="E38" s="108"/>
      <x:c r="F38" s="108"/>
      <x:c r="G38" s="108"/>
      <x:c r="H38" s="108"/>
      <x:c r="I38" s="108"/>
      <x:c r="J38" s="108"/>
      <x:c r="K38" s="108"/>
      <x:c r="L38" s="108"/>
    </x:row>
    <x:row r="39">
      <x:c r="A39" s="130" t="str">
        <x:v>severe</x:v>
      </x:c>
      <x:c r="B39" s="130" t="str">
        <x:v>Output-floor amount</x:v>
      </x:c>
      <x:c r="C39" s="132" t="n">
        <x:v>331490.3779067768</x:v>
      </x:c>
      <x:c r="D39" s="150" t="b">
        <x:v>0</x:v>
      </x:c>
      <x:c r="E39" s="108"/>
      <x:c r="F39" s="108"/>
      <x:c r="G39" s="108"/>
      <x:c r="H39" s="108"/>
      <x:c r="I39" s="108"/>
      <x:c r="J39" s="108"/>
      <x:c r="K39" s="108"/>
      <x:c r="L39" s="108"/>
    </x:row>
    <x:row r="40">
      <x:c r="A40" s="130" t="str">
        <x:v>severe</x:v>
      </x:c>
      <x:c r="B40" s="130" t="str">
        <x:v>Final aggregate RWA</x:v>
      </x:c>
      <x:c r="C40" s="132" t="n">
        <x:v>1292671.0865599755</x:v>
      </x:c>
      <x:c r="D40" s="150" t="b">
        <x:v>0</x:v>
      </x:c>
      <x:c r="E40" s="108"/>
      <x:c r="F40" s="108"/>
      <x:c r="G40" s="108"/>
      <x:c r="H40" s="108"/>
      <x:c r="I40" s="108"/>
      <x:c r="J40" s="108"/>
      <x:c r="K40" s="108"/>
      <x:c r="L40" s="108"/>
    </x:row>
    <x:row r="41">
      <x:c r="A41" s="135" t="str">
        <x:v>severe</x:v>
      </x:c>
      <x:c r="B41" s="135" t="str">
        <x:v>Floor uplift</x:v>
      </x:c>
      <x:c r="C41" s="137" t="n">
        <x:v>0</x:v>
      </x:c>
      <x:c r="D41" s="151" t="b">
        <x:v>0</x:v>
      </x:c>
      <x:c r="E41" s="108"/>
      <x:c r="F41" s="108"/>
      <x:c r="G41" s="108"/>
      <x:c r="H41" s="108"/>
      <x:c r="I41" s="108"/>
      <x:c r="J41" s="108"/>
      <x:c r="K41" s="108"/>
      <x:c r="L41" s="108"/>
    </x:row>
  </x:sheetData>
  <x:mergeCells>
    <x:mergeCell ref="A1:L1"/>
    <x:mergeCell ref="A2:L2"/>
    <x:mergeCell ref="A16:E16"/>
  </x:mergeCells>
  <x:pageMargins left="0.7" right="0.7" top="0.75" bottom="0.75" header="0.3" footer="0.3"/>
  <x:drawing xmlns:r="http://schemas.openxmlformats.org/officeDocument/2006/relationships" r:id="R4f25c08ba71c4413"/>
  <x:tableParts count="2">
    <x:tablePart xmlns:r="http://schemas.openxmlformats.org/officeDocument/2006/relationships" r:id="Re9e27fab0caa457b"/>
    <x:tablePart xmlns:r="http://schemas.openxmlformats.org/officeDocument/2006/relationships" r:id="R0b72047312024a4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20" hidden="0" customWidth="1"/>
    <x:col min="4" max="4" width="18" hidden="0" customWidth="1"/>
    <x:col min="5" max="5" width="16" hidden="0" customWidth="1"/>
    <x:col min="6" max="6" width="16" hidden="0" customWidth="1"/>
    <x:col min="7" max="7" width="20" hidden="0" customWidth="1"/>
  </x:cols>
  <x:sheetData>
    <x:row r="1" ht="30" customHeight="1">
      <x:c r="A1" s="106" t="str">
        <x:v>Concentration Risk</x:v>
      </x:c>
      <x:c r="B1" s="106"/>
      <x:c r="C1" s="106"/>
      <x:c r="D1" s="106"/>
      <x:c r="E1" s="106"/>
      <x:c r="F1" s="106"/>
      <x:c r="G1" s="106"/>
      <x:c r="H1" s="106"/>
      <x:c r="I1" s="106"/>
      <x:c r="J1" s="106"/>
      <x:c r="K1" s="106"/>
      <x:c r="L1" s="106"/>
    </x:row>
    <x:row r="2" ht="24" customHeight="1">
      <x:c r="A2" s="107" t="str">
        <x:v>Borrower, connected-group and sector concentration measures</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22" customHeight="1">
      <x:c r="A4" s="109" t="str">
        <x:v>Portfolio concentration indicators</x:v>
      </x:c>
      <x:c r="B4" s="109"/>
      <x:c r="C4" s="108"/>
      <x:c r="D4" s="108"/>
      <x:c r="E4" s="108"/>
      <x:c r="F4" s="108"/>
      <x:c r="G4" s="108"/>
      <x:c r="H4" s="108"/>
      <x:c r="I4" s="108"/>
      <x:c r="J4" s="108"/>
      <x:c r="K4" s="108"/>
      <x:c r="L4" s="108"/>
    </x:row>
    <x:row r="5" ht="30" customHeight="1">
      <x:c r="A5" s="122" t="str">
        <x:v>Metric</x:v>
      </x:c>
      <x:c r="B5" s="152" t="str">
        <x:v>Value</x:v>
      </x:c>
      <x:c r="C5" s="108"/>
      <x:c r="D5" s="108"/>
      <x:c r="E5" s="108"/>
      <x:c r="F5" s="108"/>
      <x:c r="G5" s="108"/>
      <x:c r="H5" s="108"/>
      <x:c r="I5" s="108"/>
      <x:c r="J5" s="108"/>
      <x:c r="K5" s="108"/>
      <x:c r="L5" s="108"/>
    </x:row>
    <x:row r="6">
      <x:c r="A6" s="125" t="str">
        <x:v>Borrower HHI</x:v>
      </x:c>
      <x:c r="B6" s="128" t="n">
        <x:v>0.0006787721</x:v>
      </x:c>
      <x:c r="C6" s="108"/>
      <x:c r="D6" s="108"/>
      <x:c r="E6" s="108"/>
      <x:c r="F6" s="108"/>
      <x:c r="G6" s="108"/>
      <x:c r="H6" s="108"/>
      <x:c r="I6" s="108"/>
      <x:c r="J6" s="108"/>
      <x:c r="K6" s="108"/>
      <x:c r="L6" s="108"/>
    </x:row>
    <x:row r="7">
      <x:c r="A7" s="130" t="str">
        <x:v>Sector HHI</x:v>
      </x:c>
      <x:c r="B7" s="133" t="n">
        <x:v>0.1252798127</x:v>
      </x:c>
      <x:c r="C7" s="108"/>
      <x:c r="D7" s="108"/>
      <x:c r="E7" s="108"/>
      <x:c r="F7" s="108"/>
      <x:c r="G7" s="108"/>
      <x:c r="H7" s="108"/>
      <x:c r="I7" s="108"/>
      <x:c r="J7" s="108"/>
      <x:c r="K7" s="108"/>
      <x:c r="L7" s="108"/>
    </x:row>
    <x:row r="8">
      <x:c r="A8" s="130" t="str">
        <x:v>Top 10 borrower share</x:v>
      </x:c>
      <x:c r="B8" s="133" t="n">
        <x:v>0.0206126831</x:v>
      </x:c>
      <x:c r="C8" s="108"/>
      <x:c r="D8" s="108"/>
      <x:c r="E8" s="108"/>
      <x:c r="F8" s="108"/>
      <x:c r="G8" s="108"/>
      <x:c r="H8" s="108"/>
      <x:c r="I8" s="108"/>
      <x:c r="J8" s="108"/>
      <x:c r="K8" s="108"/>
      <x:c r="L8" s="108"/>
    </x:row>
    <x:row r="9">
      <x:c r="A9" s="130" t="str">
        <x:v>Top 20 borrower share</x:v>
      </x:c>
      <x:c r="B9" s="133" t="n">
        <x:v>0.0375186998</x:v>
      </x:c>
      <x:c r="C9" s="108"/>
      <x:c r="D9" s="108"/>
      <x:c r="E9" s="108"/>
      <x:c r="F9" s="108"/>
      <x:c r="G9" s="108"/>
      <x:c r="H9" s="108"/>
      <x:c r="I9" s="108"/>
      <x:c r="J9" s="108"/>
      <x:c r="K9" s="108"/>
      <x:c r="L9" s="108"/>
    </x:row>
    <x:row r="10">
      <x:c r="A10" s="135" t="str">
        <x:v>Top 5 sector share</x:v>
      </x:c>
      <x:c r="B10" s="136" t="n">
        <x:v>0.6356088777</x:v>
      </x:c>
      <x:c r="C10" s="108"/>
      <x:c r="D10" s="108"/>
      <x:c r="E10" s="108"/>
      <x:c r="F10" s="108"/>
      <x:c r="G10" s="108"/>
      <x:c r="H10" s="108"/>
      <x:c r="I10" s="108"/>
      <x:c r="J10" s="108"/>
      <x:c r="K10" s="108"/>
      <x:c r="L10" s="108"/>
    </x:row>
    <x:row r="11">
      <x:c r="A11" s="108"/>
      <x:c r="B11" s="108"/>
      <x:c r="C11" s="108"/>
      <x:c r="D11" s="108"/>
      <x:c r="E11" s="108"/>
      <x:c r="F11" s="108"/>
      <x:c r="G11" s="108"/>
      <x:c r="H11" s="108"/>
      <x:c r="I11" s="108"/>
      <x:c r="J11" s="108"/>
      <x:c r="K11" s="108"/>
      <x:c r="L11" s="108"/>
    </x:row>
    <x:row r="12">
      <x:c r="A12" s="108"/>
      <x:c r="B12" s="108"/>
      <x:c r="C12" s="108"/>
      <x:c r="D12" s="108"/>
      <x:c r="E12" s="108"/>
      <x:c r="F12" s="108"/>
      <x:c r="G12" s="108"/>
      <x:c r="H12" s="108"/>
      <x:c r="I12" s="108"/>
      <x:c r="J12" s="108"/>
      <x:c r="K12" s="108"/>
      <x:c r="L12" s="108"/>
    </x:row>
    <x:row r="13" ht="22" customHeight="1">
      <x:c r="A13" s="109" t="str">
        <x:v>Top borrowers by EAD</x:v>
      </x:c>
      <x:c r="B13" s="109"/>
      <x:c r="C13" s="109"/>
      <x:c r="D13" s="109"/>
      <x:c r="E13" s="109"/>
      <x:c r="F13" s="109"/>
      <x:c r="G13" s="108"/>
      <x:c r="H13" s="108"/>
      <x:c r="I13" s="108"/>
      <x:c r="J13" s="108"/>
      <x:c r="K13" s="108"/>
      <x:c r="L13" s="108"/>
    </x:row>
    <x:row r="14" ht="30" customHeight="1">
      <x:c r="A14" s="122" t="str">
        <x:v>Borrower Id</x:v>
      </x:c>
      <x:c r="B14" s="124" t="str">
        <x:v>Connected Group Id</x:v>
      </x:c>
      <x:c r="C14" s="124" t="str">
        <x:v>Ead (INR crore)</x:v>
      </x:c>
      <x:c r="D14" s="124" t="str">
        <x:v>Irb Rwa (INR crore)</x:v>
      </x:c>
      <x:c r="E14" s="124" t="str">
        <x:v>Facility Count</x:v>
      </x:c>
      <x:c r="F14" s="124" t="str">
        <x:v>Ead Share</x:v>
      </x:c>
      <x:c r="G14" s="123" t="str">
        <x:v>Cumulative Ead Share</x:v>
      </x:c>
      <x:c r="H14" s="108"/>
      <x:c r="I14" s="108"/>
      <x:c r="J14" s="108"/>
      <x:c r="K14" s="108"/>
      <x:c r="L14" s="108"/>
    </x:row>
    <x:row r="15">
      <x:c r="A15" s="125" t="str">
        <x:v>BOR-0009623</x:v>
      </x:c>
      <x:c r="B15" s="125" t="str">
        <x:v>GRP-001924</x:v>
      </x:c>
      <x:c r="C15" s="127" t="n">
        <x:v>1759.3022053719596</x:v>
      </x:c>
      <x:c r="D15" s="127" t="n">
        <x:v>1749.6494423655213</x:v>
      </x:c>
      <x:c r="E15" s="126" t="n">
        <x:v>3</x:v>
      </x:c>
      <x:c r="F15" s="128" t="n">
        <x:v>0.002502963</x:v>
      </x:c>
      <x:c r="G15" s="128" t="n">
        <x:v>0.002502963</x:v>
      </x:c>
      <x:c r="H15" s="108"/>
      <x:c r="I15" s="108"/>
      <x:c r="J15" s="108"/>
      <x:c r="K15" s="108"/>
      <x:c r="L15" s="108"/>
    </x:row>
    <x:row r="16">
      <x:c r="A16" s="130" t="str">
        <x:v>BOR-0010400</x:v>
      </x:c>
      <x:c r="B16" s="130" t="str">
        <x:v>GRP-002080</x:v>
      </x:c>
      <x:c r="C16" s="132" t="n">
        <x:v>1705.4646184421495</x:v>
      </x:c>
      <x:c r="D16" s="132" t="n">
        <x:v>2038.8727453929664</x:v>
      </x:c>
      <x:c r="E16" s="131" t="n">
        <x:v>3</x:v>
      </x:c>
      <x:c r="F16" s="133" t="n">
        <x:v>0.0024263682</x:v>
      </x:c>
      <x:c r="G16" s="133" t="n">
        <x:v>0.0049293312</x:v>
      </x:c>
      <x:c r="H16" s="108"/>
      <x:c r="I16" s="108"/>
      <x:c r="J16" s="108"/>
      <x:c r="K16" s="108"/>
      <x:c r="L16" s="108"/>
    </x:row>
    <x:row r="17">
      <x:c r="A17" s="130" t="str">
        <x:v>BOR-0010237</x:v>
      </x:c>
      <x:c r="B17" s="130" t="str">
        <x:v>GRP-002047</x:v>
      </x:c>
      <x:c r="C17" s="132" t="n">
        <x:v>1572.3991842653902</x:v>
      </x:c>
      <x:c r="D17" s="132" t="n">
        <x:v>1541.9085751291423</x:v>
      </x:c>
      <x:c r="E17" s="131" t="n">
        <x:v>3</x:v>
      </x:c>
      <x:c r="F17" s="133" t="n">
        <x:v>0.0022370557</x:v>
      </x:c>
      <x:c r="G17" s="133" t="n">
        <x:v>0.0071663869</x:v>
      </x:c>
      <x:c r="H17" s="108"/>
      <x:c r="I17" s="108"/>
      <x:c r="J17" s="108"/>
      <x:c r="K17" s="108"/>
      <x:c r="L17" s="108"/>
    </x:row>
    <x:row r="18">
      <x:c r="A18" s="130" t="str">
        <x:v>BOR-0009856</x:v>
      </x:c>
      <x:c r="B18" s="130" t="str">
        <x:v>GRP-001971</x:v>
      </x:c>
      <x:c r="C18" s="132" t="n">
        <x:v>1548.8969722621255</x:v>
      </x:c>
      <x:c r="D18" s="132" t="n">
        <x:v>845.9715407916749</x:v>
      </x:c>
      <x:c r="E18" s="131" t="n">
        <x:v>3</x:v>
      </x:c>
      <x:c r="F18" s="133" t="n">
        <x:v>0.002203619</x:v>
      </x:c>
      <x:c r="G18" s="133" t="n">
        <x:v>0.0093700059</x:v>
      </x:c>
      <x:c r="H18" s="108"/>
      <x:c r="I18" s="108"/>
      <x:c r="J18" s="108"/>
      <x:c r="K18" s="108"/>
      <x:c r="L18" s="108"/>
    </x:row>
    <x:row r="19">
      <x:c r="A19" s="130" t="str">
        <x:v>BOR-0010114</x:v>
      </x:c>
      <x:c r="B19" s="130" t="str">
        <x:v>GRP-002022</x:v>
      </x:c>
      <x:c r="C19" s="132" t="n">
        <x:v>1442.39675901072</x:v>
      </x:c>
      <x:c r="D19" s="132" t="n">
        <x:v>1104.2990255126115</x:v>
      </x:c>
      <x:c r="E19" s="131" t="n">
        <x:v>3</x:v>
      </x:c>
      <x:c r="F19" s="133" t="n">
        <x:v>0.002052101</x:v>
      </x:c>
      <x:c r="G19" s="133" t="n">
        <x:v>0.0114221068</x:v>
      </x:c>
      <x:c r="H19" s="108"/>
      <x:c r="I19" s="108"/>
      <x:c r="J19" s="108"/>
      <x:c r="K19" s="108"/>
      <x:c r="L19" s="108"/>
    </x:row>
    <x:row r="20">
      <x:c r="A20" s="130" t="str">
        <x:v>BOR-0028723</x:v>
      </x:c>
      <x:c r="B20" s="130" t="str">
        <x:v>GRP-005744</x:v>
      </x:c>
      <x:c r="C20" s="132" t="n">
        <x:v>1349.0300955525483</x:v>
      </x:c>
      <x:c r="D20" s="132" t="n">
        <x:v>278.10453779027284</x:v>
      </x:c>
      <x:c r="E20" s="131" t="n">
        <x:v>2</x:v>
      </x:c>
      <x:c r="F20" s="133" t="n">
        <x:v>0.001919268</x:v>
      </x:c>
      <x:c r="G20" s="133" t="n">
        <x:v>0.0133413748</x:v>
      </x:c>
      <x:c r="H20" s="108"/>
      <x:c r="I20" s="108"/>
      <x:c r="J20" s="108"/>
      <x:c r="K20" s="108"/>
      <x:c r="L20" s="108"/>
    </x:row>
    <x:row r="21">
      <x:c r="A21" s="130" t="str">
        <x:v>BOR-0010435</x:v>
      </x:c>
      <x:c r="B21" s="130" t="str">
        <x:v>GRP-002087</x:v>
      </x:c>
      <x:c r="C21" s="132" t="n">
        <x:v>1309.1001570319245</x:v>
      </x:c>
      <x:c r="D21" s="132" t="n">
        <x:v>6938.381566463965</x:v>
      </x:c>
      <x:c r="E21" s="131" t="n">
        <x:v>3</x:v>
      </x:c>
      <x:c r="F21" s="133" t="n">
        <x:v>0.0018624596</x:v>
      </x:c>
      <x:c r="G21" s="133" t="n">
        <x:v>0.0152038344</x:v>
      </x:c>
      <x:c r="H21" s="108"/>
      <x:c r="I21" s="108"/>
      <x:c r="J21" s="108"/>
      <x:c r="K21" s="108"/>
      <x:c r="L21" s="108"/>
    </x:row>
    <x:row r="22">
      <x:c r="A22" s="130" t="str">
        <x:v>BOR-0009694</x:v>
      </x:c>
      <x:c r="B22" s="130" t="str">
        <x:v>GRP-001938</x:v>
      </x:c>
      <x:c r="C22" s="132" t="n">
        <x:v>1295.9272565581714</x:v>
      </x:c>
      <x:c r="D22" s="132" t="n">
        <x:v>1467.4368198469083</x:v>
      </x:c>
      <x:c r="E22" s="131" t="n">
        <x:v>3</x:v>
      </x:c>
      <x:c r="F22" s="133" t="n">
        <x:v>0.0018437185</x:v>
      </x:c>
      <x:c r="G22" s="133" t="n">
        <x:v>0.0170475529</x:v>
      </x:c>
      <x:c r="H22" s="108"/>
      <x:c r="I22" s="108"/>
      <x:c r="J22" s="108"/>
      <x:c r="K22" s="108"/>
      <x:c r="L22" s="108"/>
    </x:row>
    <x:row r="23">
      <x:c r="A23" s="130" t="str">
        <x:v>BOR-0009603</x:v>
      </x:c>
      <x:c r="B23" s="130" t="str">
        <x:v>GRP-001920</x:v>
      </x:c>
      <x:c r="C23" s="132" t="n">
        <x:v>1284.005649839699</x:v>
      </x:c>
      <x:c r="D23" s="132" t="n">
        <x:v>3751.241907985839</x:v>
      </x:c>
      <x:c r="E23" s="131" t="n">
        <x:v>3</x:v>
      </x:c>
      <x:c r="F23" s="133" t="n">
        <x:v>0.0018267576</x:v>
      </x:c>
      <x:c r="G23" s="133" t="n">
        <x:v>0.0188743105</x:v>
      </x:c>
      <x:c r="H23" s="108"/>
      <x:c r="I23" s="108"/>
      <x:c r="J23" s="108"/>
      <x:c r="K23" s="108"/>
      <x:c r="L23" s="108"/>
    </x:row>
    <x:row r="24">
      <x:c r="A24" s="130" t="str">
        <x:v>BOR-0010389</x:v>
      </x:c>
      <x:c r="B24" s="130" t="str">
        <x:v>GRP-002077</x:v>
      </x:c>
      <x:c r="C24" s="132" t="n">
        <x:v>1221.880911603844</x:v>
      </x:c>
      <x:c r="D24" s="132" t="n">
        <x:v>1523.4970290830458</x:v>
      </x:c>
      <x:c r="E24" s="131" t="n">
        <x:v>3</x:v>
      </x:c>
      <x:c r="F24" s="133" t="n">
        <x:v>0.0017383726</x:v>
      </x:c>
      <x:c r="G24" s="133" t="n">
        <x:v>0.0206126831</x:v>
      </x:c>
      <x:c r="H24" s="108"/>
      <x:c r="I24" s="108"/>
      <x:c r="J24" s="108"/>
      <x:c r="K24" s="108"/>
      <x:c r="L24" s="108"/>
    </x:row>
    <x:row r="25">
      <x:c r="A25" s="130" t="str">
        <x:v>BOR-0010551</x:v>
      </x:c>
      <x:c r="B25" s="130" t="str">
        <x:v>GRP-002110</x:v>
      </x:c>
      <x:c r="C25" s="132" t="n">
        <x:v>1207.6741702070638</x:v>
      </x:c>
      <x:c r="D25" s="132" t="n">
        <x:v>432.7245286987209</x:v>
      </x:c>
      <x:c r="E25" s="131" t="n">
        <x:v>3</x:v>
      </x:c>
      <x:c r="F25" s="133" t="n">
        <x:v>0.0017181606</x:v>
      </x:c>
      <x:c r="G25" s="133" t="n">
        <x:v>0.0223308437</x:v>
      </x:c>
      <x:c r="H25" s="108"/>
      <x:c r="I25" s="108"/>
      <x:c r="J25" s="108"/>
      <x:c r="K25" s="108"/>
      <x:c r="L25" s="108"/>
    </x:row>
    <x:row r="26">
      <x:c r="A26" s="130" t="str">
        <x:v>BOR-0009779</x:v>
      </x:c>
      <x:c r="B26" s="130" t="str">
        <x:v>GRP-001955</x:v>
      </x:c>
      <x:c r="C26" s="132" t="n">
        <x:v>1205.7514913571983</x:v>
      </x:c>
      <x:c r="D26" s="132" t="n">
        <x:v>1227.7703216907148</x:v>
      </x:c>
      <x:c r="E26" s="131" t="n">
        <x:v>3</x:v>
      </x:c>
      <x:c r="F26" s="133" t="n">
        <x:v>0.0017154252</x:v>
      </x:c>
      <x:c r="G26" s="133" t="n">
        <x:v>0.0240462689</x:v>
      </x:c>
      <x:c r="H26" s="108"/>
      <x:c r="I26" s="108"/>
      <x:c r="J26" s="108"/>
      <x:c r="K26" s="108"/>
      <x:c r="L26" s="108"/>
    </x:row>
    <x:row r="27">
      <x:c r="A27" s="130" t="str">
        <x:v>BOR-0010451</x:v>
      </x:c>
      <x:c r="B27" s="130" t="str">
        <x:v>GRP-002090</x:v>
      </x:c>
      <x:c r="C27" s="132" t="n">
        <x:v>1204.6555587187402</x:v>
      </x:c>
      <x:c r="D27" s="132" t="n">
        <x:v>1909.801014421022</x:v>
      </x:c>
      <x:c r="E27" s="131" t="n">
        <x:v>3</x:v>
      </x:c>
      <x:c r="F27" s="133" t="n">
        <x:v>0.001713866</x:v>
      </x:c>
      <x:c r="G27" s="133" t="n">
        <x:v>0.025760135</x:v>
      </x:c>
      <x:c r="H27" s="108"/>
      <x:c r="I27" s="108"/>
      <x:c r="J27" s="108"/>
      <x:c r="K27" s="108"/>
      <x:c r="L27" s="108"/>
    </x:row>
    <x:row r="28">
      <x:c r="A28" s="130" t="str">
        <x:v>BOR-0009915</x:v>
      </x:c>
      <x:c r="B28" s="130" t="str">
        <x:v>GRP-001983</x:v>
      </x:c>
      <x:c r="C28" s="132" t="n">
        <x:v>1199.4026854635933</x:v>
      </x:c>
      <x:c r="D28" s="132" t="n">
        <x:v>1328.9540507002175</x:v>
      </x:c>
      <x:c r="E28" s="131" t="n">
        <x:v>3</x:v>
      </x:c>
      <x:c r="F28" s="133" t="n">
        <x:v>0.0017063928</x:v>
      </x:c>
      <x:c r="G28" s="133" t="n">
        <x:v>0.0274665278</x:v>
      </x:c>
      <x:c r="H28" s="108"/>
      <x:c r="I28" s="108"/>
      <x:c r="J28" s="108"/>
      <x:c r="K28" s="108"/>
      <x:c r="L28" s="108"/>
    </x:row>
    <x:row r="29">
      <x:c r="A29" s="130" t="str">
        <x:v>BOR-0010060</x:v>
      </x:c>
      <x:c r="B29" s="130" t="str">
        <x:v>GRP-002012</x:v>
      </x:c>
      <x:c r="C29" s="132" t="n">
        <x:v>1192.9195083929433</x:v>
      </x:c>
      <x:c r="D29" s="132" t="n">
        <x:v>554.8105723036848</x:v>
      </x:c>
      <x:c r="E29" s="131" t="n">
        <x:v>3</x:v>
      </x:c>
      <x:c r="F29" s="133" t="n">
        <x:v>0.0016971691</x:v>
      </x:c>
      <x:c r="G29" s="133" t="n">
        <x:v>0.0291636969</x:v>
      </x:c>
      <x:c r="H29" s="108"/>
      <x:c r="I29" s="108"/>
      <x:c r="J29" s="108"/>
      <x:c r="K29" s="108"/>
      <x:c r="L29" s="108"/>
    </x:row>
    <x:row r="30">
      <x:c r="A30" s="130" t="str">
        <x:v>BOR-0010383</x:v>
      </x:c>
      <x:c r="B30" s="130" t="str">
        <x:v>GRP-002076</x:v>
      </x:c>
      <x:c r="C30" s="132" t="n">
        <x:v>1191.153866196569</x:v>
      </x:c>
      <x:c r="D30" s="132" t="n">
        <x:v>526.6536644009869</x:v>
      </x:c>
      <x:c r="E30" s="131" t="n">
        <x:v>3</x:v>
      </x:c>
      <x:c r="F30" s="133" t="n">
        <x:v>0.0016946572</x:v>
      </x:c>
      <x:c r="G30" s="133" t="n">
        <x:v>0.030858354</x:v>
      </x:c>
      <x:c r="H30" s="108"/>
      <x:c r="I30" s="108"/>
      <x:c r="J30" s="108"/>
      <x:c r="K30" s="108"/>
      <x:c r="L30" s="108"/>
    </x:row>
    <x:row r="31">
      <x:c r="A31" s="130" t="str">
        <x:v>BOR-0009701</x:v>
      </x:c>
      <x:c r="B31" s="130" t="str">
        <x:v>GRP-001940</x:v>
      </x:c>
      <x:c r="C31" s="132" t="n">
        <x:v>1182.027417746989</x:v>
      </x:c>
      <x:c r="D31" s="132" t="n">
        <x:v>611.9489686439692</x:v>
      </x:c>
      <x:c r="E31" s="131" t="n">
        <x:v>3</x:v>
      </x:c>
      <x:c r="F31" s="133" t="n">
        <x:v>0.0016816729</x:v>
      </x:c>
      <x:c r="G31" s="133" t="n">
        <x:v>0.032540027</x:v>
      </x:c>
      <x:c r="H31" s="108"/>
      <x:c r="I31" s="108"/>
      <x:c r="J31" s="108"/>
      <x:c r="K31" s="108"/>
      <x:c r="L31" s="108"/>
    </x:row>
    <x:row r="32">
      <x:c r="A32" s="130" t="str">
        <x:v>BOR-0010098</x:v>
      </x:c>
      <x:c r="B32" s="130" t="str">
        <x:v>GRP-002019</x:v>
      </x:c>
      <x:c r="C32" s="132" t="n">
        <x:v>1180.741783098835</x:v>
      </x:c>
      <x:c r="D32" s="132" t="n">
        <x:v>924.0925475414631</x:v>
      </x:c>
      <x:c r="E32" s="131" t="n">
        <x:v>3</x:v>
      </x:c>
      <x:c r="F32" s="133" t="n">
        <x:v>0.0016798439</x:v>
      </x:c>
      <x:c r="G32" s="133" t="n">
        <x:v>0.0342198708</x:v>
      </x:c>
      <x:c r="H32" s="108"/>
      <x:c r="I32" s="108"/>
      <x:c r="J32" s="108"/>
      <x:c r="K32" s="108"/>
      <x:c r="L32" s="108"/>
    </x:row>
    <x:row r="33">
      <x:c r="A33" s="130" t="str">
        <x:v>BOR-0009987</x:v>
      </x:c>
      <x:c r="B33" s="130" t="str">
        <x:v>GRP-001997</x:v>
      </x:c>
      <x:c r="C33" s="132" t="n">
        <x:v>1171.61525582416</x:v>
      </x:c>
      <x:c r="D33" s="132" t="n">
        <x:v>495.17731293848374</x:v>
      </x:c>
      <x:c r="E33" s="131" t="n">
        <x:v>3</x:v>
      </x:c>
      <x:c r="F33" s="133" t="n">
        <x:v>0.0016668595</x:v>
      </x:c>
      <x:c r="G33" s="133" t="n">
        <x:v>0.0358867304</x:v>
      </x:c>
      <x:c r="H33" s="108"/>
      <x:c r="I33" s="108"/>
      <x:c r="J33" s="108"/>
      <x:c r="K33" s="108"/>
      <x:c r="L33" s="108"/>
    </x:row>
    <x:row r="34">
      <x:c r="A34" s="135" t="str">
        <x:v>BOR-0009784</x:v>
      </x:c>
      <x:c r="B34" s="135" t="str">
        <x:v>GRP-001956</x:v>
      </x:c>
      <x:c r="C34" s="137" t="n">
        <x:v>1147.0914607597174</x:v>
      </x:c>
      <x:c r="D34" s="137" t="n">
        <x:v>2334.493481988884</x:v>
      </x:c>
      <x:c r="E34" s="138" t="n">
        <x:v>3</x:v>
      </x:c>
      <x:c r="F34" s="136" t="n">
        <x:v>0.0016319695</x:v>
      </x:c>
      <x:c r="G34" s="136" t="n">
        <x:v>0.0375186998</x:v>
      </x:c>
      <x:c r="H34" s="108"/>
      <x:c r="I34" s="108"/>
      <x:c r="J34" s="108"/>
      <x:c r="K34" s="108"/>
      <x:c r="L34" s="108"/>
    </x:row>
    <x:row r="35">
      <x:c r="A35" s="108"/>
      <x:c r="B35" s="108"/>
      <x:c r="C35" s="140"/>
      <x:c r="D35" s="140"/>
      <x:c r="E35" s="141"/>
      <x:c r="F35" s="142"/>
      <x:c r="G35" s="142"/>
      <x:c r="H35" s="108"/>
      <x:c r="I35" s="108"/>
      <x:c r="J35" s="108"/>
      <x:c r="K35" s="108"/>
      <x:c r="L35" s="108"/>
    </x:row>
    <x:row r="36">
      <x:c r="A36" s="108"/>
      <x:c r="B36" s="108"/>
      <x:c r="C36" s="140"/>
      <x:c r="D36" s="140"/>
      <x:c r="E36" s="141"/>
      <x:c r="F36" s="142"/>
      <x:c r="G36" s="142"/>
      <x:c r="H36" s="108"/>
      <x:c r="I36" s="108"/>
      <x:c r="J36" s="108"/>
      <x:c r="K36" s="108"/>
      <x:c r="L36" s="108"/>
    </x:row>
    <x:row r="37">
      <x:c r="A37" s="108"/>
      <x:c r="B37" s="108"/>
      <x:c r="C37" s="140"/>
      <x:c r="D37" s="140"/>
      <x:c r="E37" s="141"/>
      <x:c r="F37" s="142"/>
      <x:c r="G37" s="142"/>
      <x:c r="H37" s="108"/>
      <x:c r="I37" s="108"/>
      <x:c r="J37" s="108"/>
      <x:c r="K37" s="108"/>
      <x:c r="L37" s="108"/>
    </x:row>
    <x:row r="38">
      <x:c r="A38" s="108"/>
      <x:c r="B38" s="108"/>
      <x:c r="C38" s="140"/>
      <x:c r="D38" s="140"/>
      <x:c r="E38" s="141"/>
      <x:c r="F38" s="142"/>
      <x:c r="G38" s="142"/>
      <x:c r="H38" s="108"/>
      <x:c r="I38" s="108"/>
      <x:c r="J38" s="108"/>
      <x:c r="K38" s="108"/>
      <x:c r="L38" s="108"/>
    </x:row>
    <x:row r="39">
      <x:c r="A39" s="108"/>
      <x:c r="B39" s="108"/>
      <x:c r="C39" s="140"/>
      <x:c r="D39" s="140"/>
      <x:c r="E39" s="141"/>
      <x:c r="F39" s="142"/>
      <x:c r="G39" s="142"/>
      <x:c r="H39" s="108"/>
      <x:c r="I39" s="108"/>
      <x:c r="J39" s="108"/>
      <x:c r="K39" s="108"/>
      <x:c r="L39" s="108"/>
    </x:row>
    <x:row r="40">
      <x:c r="A40" s="108"/>
      <x:c r="B40" s="108"/>
      <x:c r="C40" s="140"/>
      <x:c r="D40" s="140"/>
      <x:c r="E40" s="141"/>
      <x:c r="F40" s="142"/>
      <x:c r="G40" s="142"/>
      <x:c r="H40" s="108"/>
      <x:c r="I40" s="108"/>
      <x:c r="J40" s="108"/>
      <x:c r="K40" s="108"/>
      <x:c r="L40" s="108"/>
    </x:row>
  </x:sheetData>
  <x:mergeCells>
    <x:mergeCell ref="A1:L1"/>
    <x:mergeCell ref="A2:L2"/>
    <x:mergeCell ref="A4:B4"/>
    <x:mergeCell ref="A13:F13"/>
  </x:mergeCells>
  <x:pageMargins left="0.7" right="0.7" top="0.75" bottom="0.75" header="0.3" footer="0.3"/>
  <x:tableParts count="1">
    <x:tablePart xmlns:r="http://schemas.openxmlformats.org/officeDocument/2006/relationships" r:id="R754a2f3bc241469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14" hidden="0" customWidth="1"/>
  </x:cols>
  <x:sheetData>
    <x:row r="1" ht="30" customHeight="1">
      <x:c r="A1" s="106" t="str">
        <x:v>Period-on-Period RWA Bridge</x:v>
      </x:c>
      <x:c r="B1" s="106"/>
      <x:c r="C1" s="106"/>
      <x:c r="D1" s="106"/>
      <x:c r="E1" s="106"/>
      <x:c r="F1" s="106"/>
      <x:c r="G1" s="106"/>
      <x:c r="H1" s="106"/>
      <x:c r="I1" s="106"/>
      <x:c r="J1" s="106"/>
      <x:c r="K1" s="106"/>
      <x:c r="L1" s="106"/>
    </x:row>
    <x:row r="2" ht="24" customHeight="1">
      <x:c r="A2" s="107" t="str">
        <x:v>Deterministic driver allocation with a visible nonlinear residual | INR crore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30" customHeight="1">
      <x:c r="A4" s="122" t="str">
        <x:v>Driver</x:v>
      </x:c>
      <x:c r="B4" s="124" t="str">
        <x:v>Amount (INR crore)</x:v>
      </x:c>
      <x:c r="C4" s="123" t="str">
        <x:v>Kind</x:v>
      </x:c>
      <x:c r="D4" s="108"/>
      <x:c r="E4" s="108"/>
      <x:c r="F4" s="108"/>
      <x:c r="G4" s="108"/>
      <x:c r="H4" s="108"/>
      <x:c r="I4" s="108"/>
      <x:c r="J4" s="108"/>
      <x:c r="K4" s="108"/>
      <x:c r="L4" s="108"/>
    </x:row>
    <x:row r="5">
      <x:c r="A5" s="125" t="str">
        <x:v>Prior RWA</x:v>
      </x:c>
      <x:c r="B5" s="127" t="n">
        <x:v>716958.7103084404</x:v>
      </x:c>
      <x:c r="C5" s="125" t="str">
        <x:v>total</x:v>
      </x:c>
      <x:c r="D5" s="108"/>
      <x:c r="E5" s="108"/>
      <x:c r="F5" s="108"/>
      <x:c r="G5" s="108"/>
      <x:c r="H5" s="108"/>
      <x:c r="I5" s="108"/>
      <x:c r="J5" s="108"/>
      <x:c r="K5" s="108"/>
      <x:c r="L5" s="108"/>
    </x:row>
    <x:row r="6">
      <x:c r="A6" s="130" t="str">
        <x:v>New business</x:v>
      </x:c>
      <x:c r="B6" s="132" t="n">
        <x:v>21674.6231583682</x:v>
      </x:c>
      <x:c r="C6" s="130" t="str">
        <x:v>change</x:v>
      </x:c>
      <x:c r="D6" s="108"/>
      <x:c r="E6" s="108"/>
      <x:c r="F6" s="108"/>
      <x:c r="G6" s="108"/>
      <x:c r="H6" s="108"/>
      <x:c r="I6" s="108"/>
      <x:c r="J6" s="108"/>
      <x:c r="K6" s="108"/>
      <x:c r="L6" s="108"/>
    </x:row>
    <x:row r="7">
      <x:c r="A7" s="130" t="str">
        <x:v>Run-off / repayment</x:v>
      </x:c>
      <x:c r="B7" s="132" t="n">
        <x:v>-8078.646486982144</x:v>
      </x:c>
      <x:c r="C7" s="130" t="str">
        <x:v>change</x:v>
      </x:c>
      <x:c r="D7" s="108"/>
      <x:c r="E7" s="108"/>
      <x:c r="F7" s="108"/>
      <x:c r="G7" s="108"/>
      <x:c r="H7" s="108"/>
      <x:c r="I7" s="108"/>
      <x:c r="J7" s="108"/>
      <x:c r="K7" s="108"/>
      <x:c r="L7" s="108"/>
    </x:row>
    <x:row r="8">
      <x:c r="A8" s="130" t="str">
        <x:v>EAD movement</x:v>
      </x:c>
      <x:c r="B8" s="132" t="n">
        <x:v>-1974.761537821603</x:v>
      </x:c>
      <x:c r="C8" s="130" t="str">
        <x:v>change</x:v>
      </x:c>
      <x:c r="D8" s="108"/>
      <x:c r="E8" s="108"/>
      <x:c r="F8" s="108"/>
      <x:c r="G8" s="108"/>
      <x:c r="H8" s="108"/>
      <x:c r="I8" s="108"/>
      <x:c r="J8" s="108"/>
      <x:c r="K8" s="108"/>
      <x:c r="L8" s="108"/>
    </x:row>
    <x:row r="9">
      <x:c r="A9" s="130" t="str">
        <x:v>Rating / PD migration</x:v>
      </x:c>
      <x:c r="B9" s="132" t="n">
        <x:v>0</x:v>
      </x:c>
      <x:c r="C9" s="130" t="str">
        <x:v>change</x:v>
      </x:c>
      <x:c r="D9" s="108"/>
      <x:c r="E9" s="108"/>
      <x:c r="F9" s="108"/>
      <x:c r="G9" s="108"/>
      <x:c r="H9" s="108"/>
      <x:c r="I9" s="108"/>
      <x:c r="J9" s="108"/>
      <x:c r="K9" s="108"/>
      <x:c r="L9" s="108"/>
    </x:row>
    <x:row r="10">
      <x:c r="A10" s="130" t="str">
        <x:v>LGD / collateral</x:v>
      </x:c>
      <x:c r="B10" s="132" t="n">
        <x:v>96.48223983577385</x:v>
      </x:c>
      <x:c r="C10" s="130" t="str">
        <x:v>change</x:v>
      </x:c>
      <x:c r="D10" s="108"/>
      <x:c r="E10" s="108"/>
      <x:c r="F10" s="108"/>
      <x:c r="G10" s="108"/>
      <x:c r="H10" s="108"/>
      <x:c r="I10" s="108"/>
      <x:c r="J10" s="108"/>
      <x:c r="K10" s="108"/>
      <x:c r="L10" s="108"/>
    </x:row>
    <x:row r="11">
      <x:c r="A11" s="130" t="str">
        <x:v>Maturity</x:v>
      </x:c>
      <x:c r="B11" s="132" t="n">
        <x:v>0</x:v>
      </x:c>
      <x:c r="C11" s="130" t="str">
        <x:v>change</x:v>
      </x:c>
      <x:c r="D11" s="108"/>
      <x:c r="E11" s="108"/>
      <x:c r="F11" s="108"/>
      <x:c r="G11" s="108"/>
      <x:c r="H11" s="108"/>
      <x:c r="I11" s="108"/>
      <x:c r="J11" s="108"/>
      <x:c r="K11" s="108"/>
      <x:c r="L11" s="108"/>
    </x:row>
    <x:row r="12">
      <x:c r="A12" s="130" t="str">
        <x:v>Residual</x:v>
      </x:c>
      <x:c r="B12" s="132" t="n">
        <x:v>-9.765625e-11</x:v>
      </x:c>
      <x:c r="C12" s="130" t="str">
        <x:v>change</x:v>
      </x:c>
      <x:c r="D12" s="108"/>
      <x:c r="E12" s="108"/>
      <x:c r="F12" s="108"/>
      <x:c r="G12" s="108"/>
      <x:c r="H12" s="108"/>
      <x:c r="I12" s="108"/>
      <x:c r="J12" s="108"/>
      <x:c r="K12" s="108"/>
      <x:c r="L12" s="108"/>
    </x:row>
    <x:row r="13">
      <x:c r="A13" s="135" t="str">
        <x:v>Current RWA</x:v>
      </x:c>
      <x:c r="B13" s="137" t="n">
        <x:v>728676.4076818405</x:v>
      </x:c>
      <x:c r="C13" s="135" t="str">
        <x:v>total</x:v>
      </x:c>
      <x:c r="D13" s="108"/>
      <x:c r="E13" s="108"/>
      <x:c r="F13" s="108"/>
      <x:c r="G13" s="108"/>
      <x:c r="H13" s="108"/>
      <x:c r="I13" s="108"/>
      <x:c r="J13" s="108"/>
      <x:c r="K13" s="108"/>
      <x:c r="L13" s="108"/>
    </x:row>
    <x:row r="14">
      <x:c r="A14" s="108"/>
      <x:c r="B14" s="140"/>
      <x:c r="C14" s="108"/>
      <x:c r="D14" s="108"/>
      <x:c r="E14" s="108"/>
      <x:c r="F14" s="108"/>
      <x:c r="G14" s="108"/>
      <x:c r="H14" s="108"/>
      <x:c r="I14" s="108"/>
      <x:c r="J14" s="108"/>
      <x:c r="K14" s="108"/>
      <x:c r="L14" s="108"/>
    </x:row>
    <x:row r="15">
      <x:c r="A15" s="108"/>
      <x:c r="B15" s="140"/>
      <x:c r="C15" s="108"/>
      <x:c r="D15" s="108"/>
      <x:c r="E15" s="108"/>
      <x:c r="F15" s="108"/>
      <x:c r="G15" s="108"/>
      <x:c r="H15" s="108"/>
      <x:c r="I15" s="108"/>
      <x:c r="J15" s="108"/>
      <x:c r="K15" s="108"/>
      <x:c r="L15" s="108"/>
    </x:row>
    <x:row r="16">
      <x:c r="A16" s="153" t="str">
        <x:v>Reconciliation difference</x:v>
      </x:c>
      <x:c r="B16" s="154" t="n">
        <x:f>B5+SUM(B6:B12)-B13</x:f>
        <x:v>0</x:v>
      </x:c>
      <x:c r="C16" s="153" t="str">
        <x:f>IF(ABS(B16)&lt;0.0001,"PASS","FAIL")</x:f>
        <x:v>PASS</x:v>
      </x:c>
      <x:c r="D16" s="108"/>
      <x:c r="E16" s="108"/>
      <x:c r="F16" s="108"/>
      <x:c r="G16" s="108"/>
      <x:c r="H16" s="108"/>
      <x:c r="I16" s="108"/>
      <x:c r="J16" s="108"/>
      <x:c r="K16" s="108"/>
      <x:c r="L16" s="108"/>
    </x:row>
    <x:row r="17">
      <x:c r="A17" s="108"/>
      <x:c r="B17" s="140"/>
      <x:c r="C17" s="108"/>
      <x:c r="D17" s="108"/>
      <x:c r="E17" s="108"/>
      <x:c r="F17" s="108"/>
      <x:c r="G17" s="108"/>
      <x:c r="H17" s="108"/>
      <x:c r="I17" s="108"/>
      <x:c r="J17" s="108"/>
      <x:c r="K17" s="108"/>
      <x:c r="L17" s="108"/>
    </x:row>
    <x:row r="18">
      <x:c r="A18" s="108"/>
      <x:c r="B18" s="140"/>
      <x:c r="C18" s="108"/>
      <x:c r="D18" s="108"/>
      <x:c r="E18" s="108"/>
      <x:c r="F18" s="108"/>
      <x:c r="G18" s="108"/>
      <x:c r="H18" s="108"/>
      <x:c r="I18" s="108"/>
      <x:c r="J18" s="108"/>
      <x:c r="K18" s="108"/>
      <x:c r="L18" s="108"/>
    </x:row>
    <x:row r="19">
      <x:c r="A19" s="108"/>
      <x:c r="B19" s="140"/>
      <x:c r="C19" s="108"/>
      <x:c r="D19" s="108"/>
      <x:c r="E19" s="108"/>
      <x:c r="F19" s="108"/>
      <x:c r="G19" s="108"/>
      <x:c r="H19" s="108"/>
      <x:c r="I19" s="108"/>
      <x:c r="J19" s="108"/>
      <x:c r="K19" s="108"/>
      <x:c r="L19" s="108"/>
    </x:row>
    <x:row r="20">
      <x:c r="A20" s="108"/>
      <x:c r="B20" s="140"/>
      <x:c r="C20" s="108"/>
      <x:c r="D20" s="108"/>
      <x:c r="E20" s="108"/>
      <x:c r="F20" s="108"/>
      <x:c r="G20" s="108"/>
      <x:c r="H20" s="108"/>
      <x:c r="I20" s="108"/>
      <x:c r="J20" s="108"/>
      <x:c r="K20" s="108"/>
      <x:c r="L20" s="108"/>
    </x:row>
  </x:sheetData>
  <x:mergeCells>
    <x:mergeCell ref="A1:L1"/>
    <x:mergeCell ref="A2:L2"/>
  </x:mergeCells>
  <x:pageMargins left="0.7" right="0.7" top="0.75" bottom="0.75" header="0.3" footer="0.3"/>
  <x:drawing xmlns:r="http://schemas.openxmlformats.org/officeDocument/2006/relationships" r:id="R28be2df8ae164f78"/>
  <x:tableParts count="1">
    <x:tablePart xmlns:r="http://schemas.openxmlformats.org/officeDocument/2006/relationships" r:id="R2ac8be45a44647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4" hidden="0" customWidth="1"/>
    <x:col min="8" max="8" width="18" hidden="0" customWidth="1"/>
  </x:cols>
  <x:sheetData>
    <x:row r="1" ht="30" customHeight="1">
      <x:c r="A1" s="106" t="str">
        <x:v>Credit Stress Testing</x:v>
      </x:c>
      <x:c r="B1" s="106"/>
      <x:c r="C1" s="106"/>
      <x:c r="D1" s="106"/>
      <x:c r="E1" s="106"/>
      <x:c r="F1" s="106"/>
      <x:c r="G1" s="106"/>
      <x:c r="H1" s="106"/>
      <x:c r="I1" s="106"/>
      <x:c r="J1" s="106"/>
      <x:c r="K1" s="106"/>
      <x:c r="L1" s="106"/>
    </x:row>
    <x:row r="2" ht="24" customHeight="1">
      <x:c r="A2" s="107" t="str">
        <x:v>Base, adverse and severe credit transmission through EAD, RWA, loss and output floor | INR crore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30" customHeight="1">
      <x:c r="A4" s="122" t="str">
        <x:v>Scenario</x:v>
      </x:c>
      <x:c r="B4" s="124" t="str">
        <x:v>Ead (INR crore)</x:v>
      </x:c>
      <x:c r="C4" s="124" t="str">
        <x:v>Sa Credit Rwa (INR crore)</x:v>
      </x:c>
      <x:c r="D4" s="124" t="str">
        <x:v>Irb Credit Rwa (INR crore)</x:v>
      </x:c>
      <x:c r="E4" s="124" t="str">
        <x:v>Expected Loss (INR crore)</x:v>
      </x:c>
      <x:c r="F4" s="124" t="str">
        <x:v>Final Total Rwa (INR crore)</x:v>
      </x:c>
      <x:c r="G4" s="124" t="str">
        <x:v>Floor Binding</x:v>
      </x:c>
      <x:c r="H4" s="123" t="str">
        <x:v>Stress Loss (INR crore)</x:v>
      </x:c>
      <x:c r="I4" s="108"/>
      <x:c r="J4" s="108"/>
      <x:c r="K4" s="108"/>
      <x:c r="L4" s="108"/>
    </x:row>
    <x:row r="5">
      <x:c r="A5" s="125" t="str">
        <x:v>base</x:v>
      </x:c>
      <x:c r="B5" s="127" t="n">
        <x:v>702887.8163117705</x:v>
      </x:c>
      <x:c r="C5" s="127" t="n">
        <x:v>406207.69049290236</x:v>
      </x:c>
      <x:c r="D5" s="127" t="n">
        <x:v>728676.4076818405</x:v>
      </x:c>
      <x:c r="E5" s="127" t="n">
        <x:v>13235.315584936732</x:v>
      </x:c>
      <x:c r="F5" s="127" t="n">
        <x:v>753676.4076818405</x:v>
      </x:c>
      <x:c r="G5" s="149" t="b">
        <x:v>0</x:v>
      </x:c>
      <x:c r="H5" s="127" t="n">
        <x:v>0</x:v>
      </x:c>
      <x:c r="I5" s="108"/>
      <x:c r="J5" s="108"/>
      <x:c r="K5" s="108"/>
      <x:c r="L5" s="108"/>
    </x:row>
    <x:row r="6">
      <x:c r="A6" s="130" t="str">
        <x:v>adverse</x:v>
      </x:c>
      <x:c r="B6" s="132" t="n">
        <x:v>749123.8559095626</x:v>
      </x:c>
      <x:c r="C6" s="132" t="n">
        <x:v>439259.3643725884</x:v>
      </x:c>
      <x:c r="D6" s="132" t="n">
        <x:v>976102.9494243957</x:v>
      </x:c>
      <x:c r="E6" s="132" t="n">
        <x:v>19594.823366084973</x:v>
      </x:c>
      <x:c r="F6" s="132" t="n">
        <x:v>1001102.9494243957</x:v>
      </x:c>
      <x:c r="G6" s="150" t="b">
        <x:v>0</x:v>
      </x:c>
      <x:c r="H6" s="132" t="n">
        <x:v>8989.486270914751</x:v>
      </x:c>
      <x:c r="I6" s="108"/>
      <x:c r="J6" s="108"/>
      <x:c r="K6" s="108"/>
      <x:c r="L6" s="108"/>
    </x:row>
    <x:row r="7">
      <x:c r="A7" s="135" t="str">
        <x:v>severe</x:v>
      </x:c>
      <x:c r="B7" s="137" t="n">
        <x:v>813031.0255505507</x:v>
      </x:c>
      <x:c r="C7" s="137" t="n">
        <x:v>484985.19677965663</x:v>
      </x:c>
      <x:c r="D7" s="137" t="n">
        <x:v>1267671.0865599755</x:v>
      </x:c>
      <x:c r="E7" s="137" t="n">
        <x:v>29975.679405568804</x:v>
      </x:c>
      <x:c r="F7" s="137" t="n">
        <x:v>1292671.0865599755</x:v>
      </x:c>
      <x:c r="G7" s="151" t="b">
        <x:v>0</x:v>
      </x:c>
      <x:c r="H7" s="137" t="n">
        <x:v>24390.930766516518</x:v>
      </x:c>
      <x:c r="I7" s="108"/>
      <x:c r="J7" s="108"/>
      <x:c r="K7" s="108"/>
      <x:c r="L7" s="108"/>
    </x:row>
    <x:row r="8">
      <x:c r="A8" s="108"/>
      <x:c r="B8" s="140"/>
      <x:c r="C8" s="140"/>
      <x:c r="D8" s="140"/>
      <x:c r="E8" s="140"/>
      <x:c r="F8" s="140"/>
      <x:c r="G8" s="108"/>
      <x:c r="H8" s="140"/>
      <x:c r="I8" s="108"/>
      <x:c r="J8" s="108"/>
      <x:c r="K8" s="108"/>
      <x:c r="L8" s="108"/>
    </x:row>
    <x:row r="9" ht="28" customHeight="1">
      <x:c r="A9" s="155" t="str">
        <x:v>Scenario multipliers, add-ons, collateral shocks, utilisation shocks and loss rates are synthetic sensitivities, not Basel-prescribed values.</x:v>
      </x:c>
      <x:c r="B9" s="155"/>
      <x:c r="C9" s="155"/>
      <x:c r="D9" s="155"/>
      <x:c r="E9" s="155"/>
      <x:c r="F9" s="155"/>
      <x:c r="G9" s="155"/>
      <x:c r="H9" s="155"/>
      <x:c r="I9" s="108"/>
      <x:c r="J9" s="108"/>
      <x:c r="K9" s="108"/>
      <x:c r="L9" s="108"/>
    </x:row>
    <x:row r="10">
      <x:c r="A10" s="108"/>
      <x:c r="B10" s="108"/>
      <x:c r="C10" s="108"/>
      <x:c r="D10" s="108"/>
      <x:c r="E10" s="108"/>
      <x:c r="F10" s="108"/>
      <x:c r="G10" s="108"/>
      <x:c r="H10" s="108"/>
      <x:c r="I10" s="108"/>
      <x:c r="J10" s="108"/>
      <x:c r="K10" s="108"/>
      <x:c r="L10" s="108"/>
    </x:row>
    <x:row r="11" ht="22" customHeight="1">
      <x:c r="A11" s="109" t="str">
        <x:v>Severe-stress sector contribution</x:v>
      </x:c>
      <x:c r="B11" s="109"/>
      <x:c r="C11" s="109"/>
      <x:c r="D11" s="109"/>
      <x:c r="E11" s="109"/>
      <x:c r="F11" s="108"/>
      <x:c r="G11" s="108"/>
      <x:c r="H11" s="108"/>
      <x:c r="I11" s="108"/>
      <x:c r="J11" s="108"/>
      <x:c r="K11" s="108"/>
      <x:c r="L11" s="108"/>
    </x:row>
    <x:row r="12" ht="30" customHeight="1">
      <x:c r="A12" s="122" t="str">
        <x:v>Sector</x:v>
      </x:c>
      <x:c r="B12" s="124" t="str">
        <x:v>Base Rwa (INR crore)</x:v>
      </x:c>
      <x:c r="C12" s="124" t="str">
        <x:v>Stressed Rwa (INR crore)</x:v>
      </x:c>
      <x:c r="D12" s="124" t="str">
        <x:v>Rwa Increase (INR crore)</x:v>
      </x:c>
      <x:c r="E12" s="123" t="str">
        <x:v>Contribution Share</x:v>
      </x:c>
      <x:c r="F12" s="108"/>
      <x:c r="G12" s="108"/>
      <x:c r="H12" s="108"/>
      <x:c r="I12" s="108"/>
      <x:c r="J12" s="108"/>
      <x:c r="K12" s="108"/>
      <x:c r="L12" s="108"/>
    </x:row>
    <x:row r="13">
      <x:c r="A13" s="125" t="str">
        <x:v>Financial Services</x:v>
      </x:c>
      <x:c r="B13" s="127" t="n">
        <x:v>132649.33399403136</x:v>
      </x:c>
      <x:c r="C13" s="127" t="n">
        <x:v>222275.21342512616</x:v>
      </x:c>
      <x:c r="D13" s="127" t="n">
        <x:v>89625.8794310948</x:v>
      </x:c>
      <x:c r="E13" s="128" t="n">
        <x:v>0.1662834216</x:v>
      </x:c>
      <x:c r="F13" s="108"/>
      <x:c r="G13" s="108"/>
      <x:c r="H13" s="108"/>
      <x:c r="I13" s="108"/>
      <x:c r="J13" s="108"/>
      <x:c r="K13" s="108"/>
      <x:c r="L13" s="108"/>
    </x:row>
    <x:row r="14">
      <x:c r="A14" s="130" t="str">
        <x:v>Construction</x:v>
      </x:c>
      <x:c r="B14" s="132" t="n">
        <x:v>76215.77729539698</x:v>
      </x:c>
      <x:c r="C14" s="132" t="n">
        <x:v>144275.43428246168</x:v>
      </x:c>
      <x:c r="D14" s="132" t="n">
        <x:v>68059.65698706468</x:v>
      </x:c>
      <x:c r="E14" s="133" t="n">
        <x:v>0.1262714822</x:v>
      </x:c>
      <x:c r="F14" s="108"/>
      <x:c r="G14" s="108"/>
      <x:c r="H14" s="108"/>
      <x:c r="I14" s="108"/>
      <x:c r="J14" s="108"/>
      <x:c r="K14" s="108"/>
      <x:c r="L14" s="108"/>
    </x:row>
    <x:row r="15">
      <x:c r="A15" s="130" t="str">
        <x:v>Real Estate</x:v>
      </x:c>
      <x:c r="B15" s="132" t="n">
        <x:v>72800.36920605261</x:v>
      </x:c>
      <x:c r="C15" s="132" t="n">
        <x:v>136304.34908693275</x:v>
      </x:c>
      <x:c r="D15" s="132" t="n">
        <x:v>63503.97988088015</x:v>
      </x:c>
      <x:c r="E15" s="133" t="n">
        <x:v>0.1178193076</x:v>
      </x:c>
      <x:c r="F15" s="108"/>
      <x:c r="G15" s="108"/>
      <x:c r="H15" s="108"/>
      <x:c r="I15" s="108"/>
      <x:c r="J15" s="108"/>
      <x:c r="K15" s="108"/>
      <x:c r="L15" s="108"/>
    </x:row>
    <x:row r="16">
      <x:c r="A16" s="130" t="str">
        <x:v>Auto Components</x:v>
      </x:c>
      <x:c r="B16" s="132" t="n">
        <x:v>67220.0481968937</x:v>
      </x:c>
      <x:c r="C16" s="132" t="n">
        <x:v>124674.02004318444</x:v>
      </x:c>
      <x:c r="D16" s="132" t="n">
        <x:v>57453.97184629076</x:v>
      </x:c>
      <x:c r="E16" s="133" t="n">
        <x:v>0.1065946921</x:v>
      </x:c>
      <x:c r="F16" s="108"/>
      <x:c r="G16" s="108"/>
      <x:c r="H16" s="108"/>
      <x:c r="I16" s="108"/>
      <x:c r="J16" s="108"/>
      <x:c r="K16" s="108"/>
      <x:c r="L16" s="108"/>
    </x:row>
    <x:row r="17">
      <x:c r="A17" s="130" t="str">
        <x:v>Textiles</x:v>
      </x:c>
      <x:c r="B17" s="132" t="n">
        <x:v>67516.38567801227</x:v>
      </x:c>
      <x:c r="C17" s="132" t="n">
        <x:v>124346.2649702784</x:v>
      </x:c>
      <x:c r="D17" s="132" t="n">
        <x:v>56829.87929226612</x:v>
      </x:c>
      <x:c r="E17" s="133" t="n">
        <x:v>0.1054368095</x:v>
      </x:c>
      <x:c r="F17" s="108"/>
      <x:c r="G17" s="108"/>
      <x:c r="H17" s="108"/>
      <x:c r="I17" s="108"/>
      <x:c r="J17" s="108"/>
      <x:c r="K17" s="108"/>
      <x:c r="L17" s="108"/>
    </x:row>
    <x:row r="18">
      <x:c r="A18" s="130" t="str">
        <x:v>Metals</x:v>
      </x:c>
      <x:c r="B18" s="132" t="n">
        <x:v>64672.544566003366</x:v>
      </x:c>
      <x:c r="C18" s="132" t="n">
        <x:v>118508.56836647844</x:v>
      </x:c>
      <x:c r="D18" s="132" t="n">
        <x:v>53836.02380047507</x:v>
      </x:c>
      <x:c r="E18" s="133" t="n">
        <x:v>0.0998822918</x:v>
      </x:c>
      <x:c r="F18" s="108"/>
      <x:c r="G18" s="108"/>
      <x:c r="H18" s="108"/>
      <x:c r="I18" s="108"/>
      <x:c r="J18" s="108"/>
      <x:c r="K18" s="108"/>
      <x:c r="L18" s="108"/>
    </x:row>
    <x:row r="19">
      <x:c r="A19" s="130" t="str">
        <x:v>Healthcare</x:v>
      </x:c>
      <x:c r="B19" s="132" t="n">
        <x:v>73907.18002545215</x:v>
      </x:c>
      <x:c r="C19" s="132" t="n">
        <x:v>119241.64083684556</x:v>
      </x:c>
      <x:c r="D19" s="132" t="n">
        <x:v>45334.46081139341</x:v>
      </x:c>
      <x:c r="E19" s="133" t="n">
        <x:v>0.084109292</x:v>
      </x:c>
      <x:c r="F19" s="108"/>
      <x:c r="G19" s="108"/>
      <x:c r="H19" s="108"/>
      <x:c r="I19" s="108"/>
      <x:c r="J19" s="108"/>
      <x:c r="K19" s="108"/>
      <x:c r="L19" s="108"/>
    </x:row>
    <x:row r="20">
      <x:c r="A20" s="130" t="str">
        <x:v>Consumer</x:v>
      </x:c>
      <x:c r="B20" s="132" t="n">
        <x:v>77413.87259869809</x:v>
      </x:c>
      <x:c r="C20" s="132" t="n">
        <x:v>120912.79118747903</x:v>
      </x:c>
      <x:c r="D20" s="132" t="n">
        <x:v>43498.91858878094</x:v>
      </x:c>
      <x:c r="E20" s="133" t="n">
        <x:v>0.0807037997</x:v>
      </x:c>
      <x:c r="F20" s="108"/>
      <x:c r="G20" s="108"/>
      <x:c r="H20" s="108"/>
      <x:c r="I20" s="108"/>
      <x:c r="J20" s="108"/>
      <x:c r="K20" s="108"/>
      <x:c r="L20" s="108"/>
    </x:row>
    <x:row r="21">
      <x:c r="A21" s="130" t="str">
        <x:v>IT Services</x:v>
      </x:c>
      <x:c r="B21" s="132" t="n">
        <x:v>65709.94339051725</x:v>
      </x:c>
      <x:c r="C21" s="132" t="n">
        <x:v>106069.90013007249</x:v>
      </x:c>
      <x:c r="D21" s="132" t="n">
        <x:v>40359.95673955524</x:v>
      </x:c>
      <x:c r="E21" s="133" t="n">
        <x:v>0.0748800653</x:v>
      </x:c>
      <x:c r="F21" s="108"/>
      <x:c r="G21" s="108"/>
      <x:c r="H21" s="108"/>
      <x:c r="I21" s="108"/>
      <x:c r="J21" s="108"/>
      <x:c r="K21" s="108"/>
      <x:c r="L21" s="108"/>
    </x:row>
    <x:row r="22">
      <x:c r="A22" s="130" t="str">
        <x:v>Government</x:v>
      </x:c>
      <x:c r="B22" s="132" t="n">
        <x:v>28665.82682924301</x:v>
      </x:c>
      <x:c r="C22" s="132" t="n">
        <x:v>46324.849246258076</x:v>
      </x:c>
      <x:c r="D22" s="132" t="n">
        <x:v>17659.022417015065</x:v>
      </x:c>
      <x:c r="E22" s="133" t="n">
        <x:v>0.0327628882</x:v>
      </x:c>
      <x:c r="F22" s="108"/>
      <x:c r="G22" s="108"/>
      <x:c r="H22" s="108"/>
      <x:c r="I22" s="108"/>
      <x:c r="J22" s="108"/>
      <x:c r="K22" s="108"/>
      <x:c r="L22" s="108"/>
    </x:row>
    <x:row r="23">
      <x:c r="A23" s="135" t="str">
        <x:v>Households</x:v>
      </x:c>
      <x:c r="B23" s="137" t="n">
        <x:v>1905.1259015397159</x:v>
      </x:c>
      <x:c r="C23" s="137" t="n">
        <x:v>4738.054984858311</x:v>
      </x:c>
      <x:c r="D23" s="137" t="n">
        <x:v>2832.9290833185955</x:v>
      </x:c>
      <x:c r="E23" s="136" t="n">
        <x:v>0.00525595</x:v>
      </x:c>
      <x:c r="F23" s="108"/>
      <x:c r="G23" s="108"/>
      <x:c r="H23" s="108"/>
      <x:c r="I23" s="108"/>
      <x:c r="J23" s="108"/>
      <x:c r="K23" s="108"/>
      <x:c r="L23" s="108"/>
    </x:row>
    <x:row r="24">
      <x:c r="A24" s="108"/>
      <x:c r="B24" s="140"/>
      <x:c r="C24" s="140"/>
      <x:c r="D24" s="140"/>
      <x:c r="E24" s="142"/>
      <x:c r="F24" s="108"/>
      <x:c r="G24" s="108"/>
      <x:c r="H24" s="108"/>
      <x:c r="I24" s="108"/>
      <x:c r="J24" s="108"/>
      <x:c r="K24" s="108"/>
      <x:c r="L24" s="108"/>
    </x:row>
    <x:row r="25">
      <x:c r="A25" s="108"/>
      <x:c r="B25" s="140"/>
      <x:c r="C25" s="140"/>
      <x:c r="D25" s="140"/>
      <x:c r="E25" s="142"/>
      <x:c r="F25" s="108"/>
      <x:c r="G25" s="108"/>
      <x:c r="H25" s="108"/>
      <x:c r="I25" s="108"/>
      <x:c r="J25" s="108"/>
      <x:c r="K25" s="108"/>
      <x:c r="L25" s="108"/>
    </x:row>
    <x:row r="26">
      <x:c r="A26" s="108"/>
      <x:c r="B26" s="140"/>
      <x:c r="C26" s="140"/>
      <x:c r="D26" s="140"/>
      <x:c r="E26" s="142"/>
      <x:c r="F26" s="108"/>
      <x:c r="G26" s="108"/>
      <x:c r="H26" s="108"/>
      <x:c r="I26" s="108"/>
      <x:c r="J26" s="108"/>
      <x:c r="K26" s="108"/>
      <x:c r="L26" s="108"/>
    </x:row>
    <x:row r="27">
      <x:c r="A27" s="108"/>
      <x:c r="B27" s="140"/>
      <x:c r="C27" s="140"/>
      <x:c r="D27" s="140"/>
      <x:c r="E27" s="142"/>
      <x:c r="F27" s="108"/>
      <x:c r="G27" s="108"/>
      <x:c r="H27" s="108"/>
      <x:c r="I27" s="108"/>
      <x:c r="J27" s="108"/>
      <x:c r="K27" s="108"/>
      <x:c r="L27" s="108"/>
    </x:row>
    <x:row r="28">
      <x:c r="A28" s="108"/>
      <x:c r="B28" s="140"/>
      <x:c r="C28" s="140"/>
      <x:c r="D28" s="140"/>
      <x:c r="E28" s="142"/>
      <x:c r="F28" s="108"/>
      <x:c r="G28" s="108"/>
      <x:c r="H28" s="108"/>
      <x:c r="I28" s="108"/>
      <x:c r="J28" s="108"/>
      <x:c r="K28" s="108"/>
      <x:c r="L28" s="108"/>
    </x:row>
    <x:row r="29">
      <x:c r="A29" s="108"/>
      <x:c r="B29" s="140"/>
      <x:c r="C29" s="140"/>
      <x:c r="D29" s="140"/>
      <x:c r="E29" s="142"/>
      <x:c r="F29" s="108"/>
      <x:c r="G29" s="108"/>
      <x:c r="H29" s="108"/>
      <x:c r="I29" s="108"/>
      <x:c r="J29" s="108"/>
      <x:c r="K29" s="108"/>
      <x:c r="L29" s="108"/>
    </x:row>
    <x:row r="30">
      <x:c r="A30" s="108"/>
      <x:c r="B30" s="140"/>
      <x:c r="C30" s="140"/>
      <x:c r="D30" s="140"/>
      <x:c r="E30" s="142"/>
      <x:c r="F30" s="108"/>
      <x:c r="G30" s="108"/>
      <x:c r="H30" s="108"/>
      <x:c r="I30" s="108"/>
      <x:c r="J30" s="108"/>
      <x:c r="K30" s="108"/>
      <x:c r="L30" s="108"/>
    </x:row>
    <x:row r="31">
      <x:c r="A31" s="108"/>
      <x:c r="B31" s="140"/>
      <x:c r="C31" s="140"/>
      <x:c r="D31" s="140"/>
      <x:c r="E31" s="142"/>
      <x:c r="F31" s="108"/>
      <x:c r="G31" s="108"/>
      <x:c r="H31" s="108"/>
      <x:c r="I31" s="108"/>
      <x:c r="J31" s="108"/>
      <x:c r="K31" s="108"/>
      <x:c r="L31" s="108"/>
    </x:row>
    <x:row r="32">
      <x:c r="A32" s="108"/>
      <x:c r="B32" s="140"/>
      <x:c r="C32" s="140"/>
      <x:c r="D32" s="140"/>
      <x:c r="E32" s="142"/>
      <x:c r="F32" s="108"/>
      <x:c r="G32" s="108"/>
      <x:c r="H32" s="108"/>
      <x:c r="I32" s="108"/>
      <x:c r="J32" s="108"/>
      <x:c r="K32" s="108"/>
      <x:c r="L32" s="108"/>
    </x:row>
    <x:row r="33">
      <x:c r="A33" s="108"/>
      <x:c r="B33" s="140"/>
      <x:c r="C33" s="140"/>
      <x:c r="D33" s="140"/>
      <x:c r="E33" s="142"/>
      <x:c r="F33" s="108"/>
      <x:c r="G33" s="108"/>
      <x:c r="H33" s="108"/>
      <x:c r="I33" s="108"/>
      <x:c r="J33" s="108"/>
      <x:c r="K33" s="108"/>
      <x:c r="L33" s="108"/>
    </x:row>
    <x:row r="34">
      <x:c r="A34" s="108"/>
      <x:c r="B34" s="140"/>
      <x:c r="C34" s="140"/>
      <x:c r="D34" s="140"/>
      <x:c r="E34" s="142"/>
      <x:c r="F34" s="108"/>
      <x:c r="G34" s="108"/>
      <x:c r="H34" s="108"/>
      <x:c r="I34" s="108"/>
      <x:c r="J34" s="108"/>
      <x:c r="K34" s="108"/>
      <x:c r="L34" s="108"/>
    </x:row>
    <x:row r="35">
      <x:c r="A35" s="108"/>
      <x:c r="B35" s="140"/>
      <x:c r="C35" s="140"/>
      <x:c r="D35" s="140"/>
      <x:c r="E35" s="142"/>
      <x:c r="F35" s="108"/>
      <x:c r="G35" s="108"/>
      <x:c r="H35" s="108"/>
      <x:c r="I35" s="108"/>
      <x:c r="J35" s="108"/>
      <x:c r="K35" s="108"/>
      <x:c r="L35" s="108"/>
    </x:row>
    <x:row r="36">
      <x:c r="A36" s="108"/>
      <x:c r="B36" s="140"/>
      <x:c r="C36" s="140"/>
      <x:c r="D36" s="140"/>
      <x:c r="E36" s="142"/>
      <x:c r="F36" s="108"/>
      <x:c r="G36" s="108"/>
      <x:c r="H36" s="108"/>
      <x:c r="I36" s="108"/>
      <x:c r="J36" s="108"/>
      <x:c r="K36" s="108"/>
      <x:c r="L36" s="108"/>
    </x:row>
    <x:row r="37">
      <x:c r="A37" s="108"/>
      <x:c r="B37" s="140"/>
      <x:c r="C37" s="140"/>
      <x:c r="D37" s="140"/>
      <x:c r="E37" s="142"/>
      <x:c r="F37" s="108"/>
      <x:c r="G37" s="108"/>
      <x:c r="H37" s="108"/>
      <x:c r="I37" s="108"/>
      <x:c r="J37" s="108"/>
      <x:c r="K37" s="108"/>
      <x:c r="L37" s="108"/>
    </x:row>
    <x:row r="38">
      <x:c r="A38" s="108"/>
      <x:c r="B38" s="140"/>
      <x:c r="C38" s="140"/>
      <x:c r="D38" s="140"/>
      <x:c r="E38" s="142"/>
      <x:c r="F38" s="108"/>
      <x:c r="G38" s="108"/>
      <x:c r="H38" s="108"/>
      <x:c r="I38" s="108"/>
      <x:c r="J38" s="108"/>
      <x:c r="K38" s="108"/>
      <x:c r="L38" s="108"/>
    </x:row>
    <x:row r="39">
      <x:c r="A39" s="108"/>
      <x:c r="B39" s="140"/>
      <x:c r="C39" s="140"/>
      <x:c r="D39" s="140"/>
      <x:c r="E39" s="142"/>
      <x:c r="F39" s="108"/>
      <x:c r="G39" s="108"/>
      <x:c r="H39" s="108"/>
      <x:c r="I39" s="108"/>
      <x:c r="J39" s="108"/>
      <x:c r="K39" s="108"/>
      <x:c r="L39" s="108"/>
    </x:row>
    <x:row r="40">
      <x:c r="A40" s="108"/>
      <x:c r="B40" s="140"/>
      <x:c r="C40" s="140"/>
      <x:c r="D40" s="140"/>
      <x:c r="E40" s="142"/>
      <x:c r="F40" s="108"/>
      <x:c r="G40" s="108"/>
      <x:c r="H40" s="108"/>
      <x:c r="I40" s="108"/>
      <x:c r="J40" s="108"/>
      <x:c r="K40" s="108"/>
      <x:c r="L40" s="108"/>
    </x:row>
  </x:sheetData>
  <x:mergeCells>
    <x:mergeCell ref="A1:L1"/>
    <x:mergeCell ref="A2:L2"/>
    <x:mergeCell ref="A9:H9"/>
    <x:mergeCell ref="A11:E11"/>
  </x:mergeCells>
  <x:pageMargins left="0.7" right="0.7" top="0.75" bottom="0.75" header="0.3" footer="0.3"/>
  <x:drawing xmlns:r="http://schemas.openxmlformats.org/officeDocument/2006/relationships" r:id="Rc10215953e794e11"/>
  <x:tableParts count="2">
    <x:tablePart xmlns:r="http://schemas.openxmlformats.org/officeDocument/2006/relationships" r:id="R529d1a31659a4533"/>
    <x:tablePart xmlns:r="http://schemas.openxmlformats.org/officeDocument/2006/relationships" r:id="Rcac5838109ea44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18" hidden="0" customWidth="1"/>
    <x:col min="4" max="4" width="18" hidden="0" customWidth="1"/>
    <x:col min="5" max="5" width="14" hidden="0" customWidth="1"/>
    <x:col min="6" max="6" width="22" hidden="0" customWidth="1"/>
    <x:col min="7" max="7" width="14" hidden="0" customWidth="1"/>
    <x:col min="8" max="8" width="18" hidden="0" customWidth="1"/>
    <x:col min="10" max="10" width="14" hidden="0" customWidth="1"/>
    <x:col min="11" max="11" width="16" hidden="0" customWidth="1"/>
  </x:cols>
  <x:sheetData>
    <x:row r="1" ht="30" customHeight="1">
      <x:c r="A1" s="106" t="str">
        <x:v>Capital Adequacy</x:v>
      </x:c>
      <x:c r="B1" s="106"/>
      <x:c r="C1" s="106"/>
      <x:c r="D1" s="106"/>
      <x:c r="E1" s="106"/>
      <x:c r="F1" s="106"/>
      <x:c r="G1" s="106"/>
      <x:c r="H1" s="106"/>
      <x:c r="I1" s="106"/>
      <x:c r="J1" s="106"/>
      <x:c r="K1" s="106"/>
      <x:c r="L1" s="106"/>
    </x:row>
    <x:row r="2" ht="24" customHeight="1">
      <x:c r="A2" s="107" t="str">
        <x:v>Capital stack, ratios, requirements and headroom after scenario losses | INR crore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ht="30" customHeight="1">
      <x:c r="A4" s="122" t="str">
        <x:v>Scenario</x:v>
      </x:c>
      <x:c r="B4" s="124" t="str">
        <x:v>Capital Measure</x:v>
      </x:c>
      <x:c r="C4" s="124" t="str">
        <x:v>Capital Amount (INR crore)</x:v>
      </x:c>
      <x:c r="D4" s="124" t="str">
        <x:v>Total Rwa (INR crore)</x:v>
      </x:c>
      <x:c r="E4" s="124" t="str">
        <x:v>Ratio</x:v>
      </x:c>
      <x:c r="F4" s="124" t="str">
        <x:v>Requirement Plus Buffer</x:v>
      </x:c>
      <x:c r="G4" s="124" t="str">
        <x:v>Headroom</x:v>
      </x:c>
      <x:c r="H4" s="123" t="str">
        <x:v>Stress Loss (INR crore)</x:v>
      </x:c>
      <x:c r="I4" s="108"/>
      <x:c r="J4" s="119" t="str">
        <x:v>Scenario</x:v>
      </x:c>
      <x:c r="K4" s="119" t="str">
        <x:v>CET1 Ratio</x:v>
      </x:c>
      <x:c r="L4" s="108"/>
    </x:row>
    <x:row r="5">
      <x:c r="A5" s="125" t="str">
        <x:v>base</x:v>
      </x:c>
      <x:c r="B5" s="125" t="str">
        <x:v>CET1</x:v>
      </x:c>
      <x:c r="C5" s="127" t="n">
        <x:v>65000</x:v>
      </x:c>
      <x:c r="D5" s="127" t="n">
        <x:v>753676.4076818405</x:v>
      </x:c>
      <x:c r="E5" s="128" t="n">
        <x:v>0.0862439096</x:v>
      </x:c>
      <x:c r="F5" s="128" t="n">
        <x:v>0.07</x:v>
      </x:c>
      <x:c r="G5" s="128" t="n">
        <x:v>0.0162439096</x:v>
      </x:c>
      <x:c r="H5" s="127" t="n">
        <x:v>0</x:v>
      </x:c>
      <x:c r="I5" s="108"/>
      <x:c r="J5" s="156" t="str">
        <x:v>base</x:v>
      </x:c>
      <x:c r="K5" s="121" t="n">
        <x:f>E5</x:f>
        <x:v>0.0862439096</x:v>
      </x:c>
      <x:c r="L5" s="108"/>
    </x:row>
    <x:row r="6">
      <x:c r="A6" s="130" t="str">
        <x:v>base</x:v>
      </x:c>
      <x:c r="B6" s="130" t="str">
        <x:v>Tier 1</x:v>
      </x:c>
      <x:c r="C6" s="132" t="n">
        <x:v>71000</x:v>
      </x:c>
      <x:c r="D6" s="132" t="n">
        <x:v>753676.4076818405</x:v>
      </x:c>
      <x:c r="E6" s="133" t="n">
        <x:v>0.0942048859</x:v>
      </x:c>
      <x:c r="F6" s="133" t="n">
        <x:v>0.085</x:v>
      </x:c>
      <x:c r="G6" s="133" t="n">
        <x:v>0.0092048859</x:v>
      </x:c>
      <x:c r="H6" s="132" t="n">
        <x:v>0</x:v>
      </x:c>
      <x:c r="I6" s="108"/>
      <x:c r="J6" s="156" t="str">
        <x:v>adverse</x:v>
      </x:c>
      <x:c r="K6" s="121" t="n">
        <x:f>E8</x:f>
        <x:v>0.055948805</x:v>
      </x:c>
      <x:c r="L6" s="108"/>
    </x:row>
    <x:row r="7">
      <x:c r="A7" s="130" t="str">
        <x:v>base</x:v>
      </x:c>
      <x:c r="B7" s="130" t="str">
        <x:v>Total Capital</x:v>
      </x:c>
      <x:c r="C7" s="132" t="n">
        <x:v>80000</x:v>
      </x:c>
      <x:c r="D7" s="132" t="n">
        <x:v>753676.4076818405</x:v>
      </x:c>
      <x:c r="E7" s="133" t="n">
        <x:v>0.1061463503</x:v>
      </x:c>
      <x:c r="F7" s="133" t="n">
        <x:v>0.105</x:v>
      </x:c>
      <x:c r="G7" s="133" t="n">
        <x:v>0.0011463503</x:v>
      </x:c>
      <x:c r="H7" s="132" t="n">
        <x:v>0</x:v>
      </x:c>
      <x:c r="I7" s="108"/>
      <x:c r="J7" s="156" t="str">
        <x:v>severe</x:v>
      </x:c>
      <x:c r="K7" s="121" t="n">
        <x:f>E11</x:f>
        <x:v>0.0314148507</x:v>
      </x:c>
      <x:c r="L7" s="108"/>
    </x:row>
    <x:row r="8">
      <x:c r="A8" s="130" t="str">
        <x:v>adverse</x:v>
      </x:c>
      <x:c r="B8" s="130" t="str">
        <x:v>CET1</x:v>
      </x:c>
      <x:c r="C8" s="132" t="n">
        <x:v>56010.51372908525</x:v>
      </x:c>
      <x:c r="D8" s="132" t="n">
        <x:v>1001102.9494243957</x:v>
      </x:c>
      <x:c r="E8" s="133" t="n">
        <x:v>0.055948805</x:v>
      </x:c>
      <x:c r="F8" s="133" t="n">
        <x:v>0.07</x:v>
      </x:c>
      <x:c r="G8" s="133" t="n">
        <x:v>-0.014051195</x:v>
      </x:c>
      <x:c r="H8" s="132" t="n">
        <x:v>8989.486270914751</x:v>
      </x:c>
      <x:c r="I8" s="108"/>
      <x:c r="J8" s="108"/>
      <x:c r="K8" s="108"/>
      <x:c r="L8" s="108"/>
    </x:row>
    <x:row r="9">
      <x:c r="A9" s="130" t="str">
        <x:v>adverse</x:v>
      </x:c>
      <x:c r="B9" s="130" t="str">
        <x:v>Tier 1</x:v>
      </x:c>
      <x:c r="C9" s="132" t="n">
        <x:v>62010.51372908525</x:v>
      </x:c>
      <x:c r="D9" s="132" t="n">
        <x:v>1001102.9494243957</x:v>
      </x:c>
      <x:c r="E9" s="133" t="n">
        <x:v>0.0619421946</x:v>
      </x:c>
      <x:c r="F9" s="133" t="n">
        <x:v>0.085</x:v>
      </x:c>
      <x:c r="G9" s="133" t="n">
        <x:v>-0.0230578054</x:v>
      </x:c>
      <x:c r="H9" s="132" t="n">
        <x:v>8989.486270914751</x:v>
      </x:c>
      <x:c r="I9" s="108"/>
      <x:c r="J9" s="108"/>
      <x:c r="K9" s="108"/>
      <x:c r="L9" s="108"/>
    </x:row>
    <x:row r="10">
      <x:c r="A10" s="130" t="str">
        <x:v>adverse</x:v>
      </x:c>
      <x:c r="B10" s="130" t="str">
        <x:v>Total Capital</x:v>
      </x:c>
      <x:c r="C10" s="132" t="n">
        <x:v>71010.51372908526</x:v>
      </x:c>
      <x:c r="D10" s="132" t="n">
        <x:v>1001102.9494243957</x:v>
      </x:c>
      <x:c r="E10" s="133" t="n">
        <x:v>0.070932279</x:v>
      </x:c>
      <x:c r="F10" s="133" t="n">
        <x:v>0.105</x:v>
      </x:c>
      <x:c r="G10" s="133" t="n">
        <x:v>-0.034067721</x:v>
      </x:c>
      <x:c r="H10" s="132" t="n">
        <x:v>8989.486270914751</x:v>
      </x:c>
      <x:c r="I10" s="108"/>
      <x:c r="J10" s="108"/>
      <x:c r="K10" s="108"/>
      <x:c r="L10" s="108"/>
    </x:row>
    <x:row r="11">
      <x:c r="A11" s="130" t="str">
        <x:v>severe</x:v>
      </x:c>
      <x:c r="B11" s="130" t="str">
        <x:v>CET1</x:v>
      </x:c>
      <x:c r="C11" s="132" t="n">
        <x:v>40609.06923348348</x:v>
      </x:c>
      <x:c r="D11" s="132" t="n">
        <x:v>1292671.0865599755</x:v>
      </x:c>
      <x:c r="E11" s="133" t="n">
        <x:v>0.0314148507</x:v>
      </x:c>
      <x:c r="F11" s="133" t="n">
        <x:v>0.07</x:v>
      </x:c>
      <x:c r="G11" s="133" t="n">
        <x:v>-0.0385851493</x:v>
      </x:c>
      <x:c r="H11" s="132" t="n">
        <x:v>24390.930766516518</x:v>
      </x:c>
      <x:c r="I11" s="108"/>
      <x:c r="J11" s="108"/>
      <x:c r="K11" s="108"/>
      <x:c r="L11" s="108"/>
    </x:row>
    <x:row r="12">
      <x:c r="A12" s="130" t="str">
        <x:v>severe</x:v>
      </x:c>
      <x:c r="B12" s="130" t="str">
        <x:v>Tier 1</x:v>
      </x:c>
      <x:c r="C12" s="132" t="n">
        <x:v>46609.06923348348</x:v>
      </x:c>
      <x:c r="D12" s="132" t="n">
        <x:v>1292671.0865599755</x:v>
      </x:c>
      <x:c r="E12" s="133" t="n">
        <x:v>0.0360564027</x:v>
      </x:c>
      <x:c r="F12" s="133" t="n">
        <x:v>0.085</x:v>
      </x:c>
      <x:c r="G12" s="133" t="n">
        <x:v>-0.0489435973</x:v>
      </x:c>
      <x:c r="H12" s="132" t="n">
        <x:v>24390.930766516518</x:v>
      </x:c>
      <x:c r="I12" s="108"/>
      <x:c r="J12" s="108"/>
      <x:c r="K12" s="108"/>
      <x:c r="L12" s="108"/>
    </x:row>
    <x:row r="13">
      <x:c r="A13" s="135" t="str">
        <x:v>severe</x:v>
      </x:c>
      <x:c r="B13" s="135" t="str">
        <x:v>Total Capital</x:v>
      </x:c>
      <x:c r="C13" s="137" t="n">
        <x:v>55609.06923348348</x:v>
      </x:c>
      <x:c r="D13" s="137" t="n">
        <x:v>1292671.0865599755</x:v>
      </x:c>
      <x:c r="E13" s="136" t="n">
        <x:v>0.0430187306</x:v>
      </x:c>
      <x:c r="F13" s="136" t="n">
        <x:v>0.105</x:v>
      </x:c>
      <x:c r="G13" s="136" t="n">
        <x:v>-0.0619812694</x:v>
      </x:c>
      <x:c r="H13" s="137" t="n">
        <x:v>24390.930766516518</x:v>
      </x:c>
      <x:c r="I13" s="108"/>
      <x:c r="J13" s="108"/>
      <x:c r="K13" s="108"/>
      <x:c r="L13" s="108"/>
    </x:row>
    <x:row r="14">
      <x:c r="A14" s="108"/>
      <x:c r="B14" s="108"/>
      <x:c r="C14" s="140"/>
      <x:c r="D14" s="140"/>
      <x:c r="E14" s="142"/>
      <x:c r="F14" s="142"/>
      <x:c r="G14" s="142"/>
      <x:c r="H14" s="140"/>
      <x:c r="I14" s="108"/>
      <x:c r="J14" s="108"/>
      <x:c r="K14" s="108"/>
      <x:c r="L14" s="108"/>
    </x:row>
    <x:row r="15">
      <x:c r="A15" s="108"/>
      <x:c r="B15" s="108"/>
      <x:c r="C15" s="140"/>
      <x:c r="D15" s="140"/>
      <x:c r="E15" s="142"/>
      <x:c r="F15" s="142"/>
      <x:c r="G15" s="142"/>
      <x:c r="H15" s="140"/>
      <x:c r="I15" s="108"/>
      <x:c r="J15" s="108"/>
      <x:c r="K15" s="108"/>
      <x:c r="L15" s="108"/>
    </x:row>
    <x:row r="16">
      <x:c r="A16" s="108"/>
      <x:c r="B16" s="108"/>
      <x:c r="C16" s="140"/>
      <x:c r="D16" s="140"/>
      <x:c r="E16" s="142"/>
      <x:c r="F16" s="142"/>
      <x:c r="G16" s="142"/>
      <x:c r="H16" s="140"/>
      <x:c r="I16" s="108"/>
      <x:c r="J16" s="108"/>
      <x:c r="K16" s="108"/>
      <x:c r="L16" s="108"/>
    </x:row>
    <x:row r="17">
      <x:c r="A17" s="108"/>
      <x:c r="B17" s="108"/>
      <x:c r="C17" s="140"/>
      <x:c r="D17" s="140"/>
      <x:c r="E17" s="142"/>
      <x:c r="F17" s="142"/>
      <x:c r="G17" s="142"/>
      <x:c r="H17" s="140"/>
      <x:c r="I17" s="108"/>
      <x:c r="J17" s="108"/>
      <x:c r="K17" s="108"/>
      <x:c r="L17" s="108"/>
    </x:row>
    <x:row r="18">
      <x:c r="A18" s="108"/>
      <x:c r="B18" s="108"/>
      <x:c r="C18" s="140"/>
      <x:c r="D18" s="140"/>
      <x:c r="E18" s="142"/>
      <x:c r="F18" s="142"/>
      <x:c r="G18" s="142"/>
      <x:c r="H18" s="140"/>
      <x:c r="I18" s="108"/>
      <x:c r="J18" s="108"/>
      <x:c r="K18" s="108"/>
      <x:c r="L18" s="108"/>
    </x:row>
    <x:row r="19">
      <x:c r="A19" s="108"/>
      <x:c r="B19" s="108"/>
      <x:c r="C19" s="140"/>
      <x:c r="D19" s="140"/>
      <x:c r="E19" s="142"/>
      <x:c r="F19" s="142"/>
      <x:c r="G19" s="142"/>
      <x:c r="H19" s="140"/>
      <x:c r="I19" s="108"/>
      <x:c r="J19" s="108"/>
      <x:c r="K19" s="108"/>
      <x:c r="L19" s="108"/>
    </x:row>
    <x:row r="20">
      <x:c r="A20" s="108"/>
      <x:c r="B20" s="108"/>
      <x:c r="C20" s="140"/>
      <x:c r="D20" s="140"/>
      <x:c r="E20" s="142"/>
      <x:c r="F20" s="142"/>
      <x:c r="G20" s="142"/>
      <x:c r="H20" s="140"/>
      <x:c r="I20" s="108"/>
      <x:c r="J20" s="108"/>
      <x:c r="K20" s="108"/>
      <x:c r="L20" s="108"/>
    </x:row>
  </x:sheetData>
  <x:mergeCells>
    <x:mergeCell ref="A1:L1"/>
    <x:mergeCell ref="A2:L2"/>
  </x:mergeCells>
  <x:conditionalFormatting sqref="G5:G20">
    <x:cfRule type="cellIs" dxfId="0" priority="1" operator="lessThan">
      <x:formula>0</x:formula>
    </x:cfRule>
    <x:cfRule type="cellIs" dxfId="1" priority="2" operator="greaterThanOrEqual">
      <x:formula>0</x:formula>
    </x:cfRule>
  </x:conditionalFormatting>
  <x:pageMargins left="0.7" right="0.7" top="0.75" bottom="0.75" header="0.3" footer="0.3"/>
  <x:drawing xmlns:r="http://schemas.openxmlformats.org/officeDocument/2006/relationships" r:id="R73bd80c657d54318"/>
  <x:tableParts count="1">
    <x:tablePart xmlns:r="http://schemas.openxmlformats.org/officeDocument/2006/relationships" r:id="Rf4774129fa684a6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14" hidden="0" customWidth="1"/>
    <x:col min="6" max="6" width="14" hidden="0" customWidth="1"/>
    <x:col min="7" max="7" width="34" hidden="0" customWidth="1"/>
    <x:col min="10" max="10" width="26" hidden="0" customWidth="1"/>
    <x:col min="11" max="11" width="18" hidden="0" customWidth="1"/>
    <x:col min="12" max="12" width="14" hidden="0" customWidth="1"/>
  </x:cols>
  <x:sheetData>
    <x:row r="1" ht="30" customHeight="1">
      <x:c r="A1" s="106" t="str">
        <x:v>Calculation Reconciliations</x:v>
      </x:c>
      <x:c r="B1" s="106"/>
      <x:c r="C1" s="106"/>
      <x:c r="D1" s="106"/>
      <x:c r="E1" s="106"/>
      <x:c r="F1" s="106"/>
      <x:c r="G1" s="106"/>
      <x:c r="H1" s="106"/>
      <x:c r="I1" s="106"/>
      <x:c r="J1" s="106"/>
      <x:c r="K1" s="106"/>
      <x:c r="L1" s="106"/>
    </x:row>
    <x:row r="2" ht="24" customHeight="1">
      <x:c r="A2" s="107" t="str">
        <x:v>Formula-driven controls tying exposure, RWA, bridge, stress and capital outputs</x:v>
      </x:c>
      <x:c r="B2" s="107"/>
      <x:c r="C2" s="107"/>
      <x:c r="D2" s="107"/>
      <x:c r="E2" s="107"/>
      <x:c r="F2" s="107"/>
      <x:c r="G2" s="107"/>
      <x:c r="H2" s="107"/>
      <x:c r="I2" s="107"/>
      <x:c r="J2" s="107"/>
      <x:c r="K2" s="107"/>
      <x:c r="L2" s="107"/>
    </x:row>
    <x:row r="3" ht="22" customHeight="1">
      <x:c r="A3" s="108"/>
      <x:c r="B3" s="108"/>
      <x:c r="C3" s="108"/>
      <x:c r="D3" s="108"/>
      <x:c r="E3" s="108"/>
      <x:c r="F3" s="108"/>
      <x:c r="G3" s="108"/>
      <x:c r="H3" s="108"/>
      <x:c r="I3" s="108"/>
      <x:c r="J3" s="109" t="str">
        <x:v>Validation source controls</x:v>
      </x:c>
      <x:c r="K3" s="109"/>
      <x:c r="L3" s="109"/>
    </x:row>
    <x:row r="4" ht="28" customHeight="1">
      <x:c r="A4" s="157" t="str">
        <x:v>Control</x:v>
      </x:c>
      <x:c r="B4" s="157" t="str">
        <x:v>Actual</x:v>
      </x:c>
      <x:c r="C4" s="157" t="str">
        <x:v>Expected</x:v>
      </x:c>
      <x:c r="D4" s="157" t="str">
        <x:v>Difference</x:v>
      </x:c>
      <x:c r="E4" s="157" t="str">
        <x:v>Tolerance</x:v>
      </x:c>
      <x:c r="F4" s="157" t="str">
        <x:v>Status</x:v>
      </x:c>
      <x:c r="G4" s="157" t="str">
        <x:v>Notes</x:v>
      </x:c>
      <x:c r="H4" s="108"/>
      <x:c r="I4" s="108"/>
      <x:c r="J4" s="122" t="str">
        <x:v>Control</x:v>
      </x:c>
      <x:c r="K4" s="124" t="str">
        <x:v>Value</x:v>
      </x:c>
      <x:c r="L4" s="123" t="str">
        <x:v>Status</x:v>
      </x:c>
    </x:row>
    <x:row r="5">
      <x:c r="A5" s="158" t="str">
        <x:v>Exposure count equals unique IDs</x:v>
      </x:c>
      <x:c r="B5" s="159" t="n">
        <x:f>K5</x:f>
        <x:v>30000</x:v>
      </x:c>
      <x:c r="C5" s="159" t="n">
        <x:f>K6</x:f>
        <x:v>30000</x:v>
      </x:c>
      <x:c r="D5" s="159" t="n">
        <x:f>B5-C5</x:f>
        <x:v>0</x:v>
      </x:c>
      <x:c r="E5" s="159" t="n">
        <x:v>0</x:v>
      </x:c>
      <x:c r="F5" s="160" t="str">
        <x:f>IF(ABS(D5)&lt;=E5,"PASS","FAIL")</x:f>
        <x:v>PASS</x:v>
      </x:c>
      <x:c r="G5" s="158" t="str">
        <x:v>Synthetic current snapshot</x:v>
      </x:c>
      <x:c r="H5" s="108"/>
      <x:c r="I5" s="108"/>
      <x:c r="J5" s="125" t="str">
        <x:v>Exposure count</x:v>
      </x:c>
      <x:c r="K5" s="126" t="n">
        <x:v>30000</x:v>
      </x:c>
      <x:c r="L5" s="125" t="str">
        <x:v>PASS</x:v>
      </x:c>
    </x:row>
    <x:row r="6">
      <x:c r="A6" s="161" t="str">
        <x:v>EAD aggregates to portfolio total</x:v>
      </x:c>
      <x:c r="B6" s="162" t="n">
        <x:f>SUM('03_SA_RWA'!B5:B14)</x:f>
        <x:v>702887.8163117705</x:v>
      </x:c>
      <x:c r="C6" s="162" t="n">
        <x:f>'02_Portfolio_Profile'!B9</x:f>
        <x:v>702887.8163117705</x:v>
      </x:c>
      <x:c r="D6" s="163" t="n">
        <x:f>B6-C6</x:f>
        <x:v>0</x:v>
      </x:c>
      <x:c r="E6" s="163" t="n">
        <x:v>0.0001</x:v>
      </x:c>
      <x:c r="F6" s="164" t="str">
        <x:f>IF(ABS(D6)&lt;=E6,"PASS","FAIL")</x:f>
        <x:v>PASS</x:v>
      </x:c>
      <x:c r="G6" s="161" t="str">
        <x:v>Pre-CRM EAD in INR crore</x:v>
      </x:c>
      <x:c r="H6" s="108"/>
      <x:c r="I6" s="108"/>
      <x:c r="J6" s="130" t="str">
        <x:v>Unique exposure IDs</x:v>
      </x:c>
      <x:c r="K6" s="131" t="n">
        <x:v>30000</x:v>
      </x:c>
      <x:c r="L6" s="130" t="str">
        <x:v>PASS</x:v>
      </x:c>
    </x:row>
    <x:row r="7">
      <x:c r="A7" s="161" t="str">
        <x:v>SA exposure RWA equals portfolio SA RWA</x:v>
      </x:c>
      <x:c r="B7" s="162" t="n">
        <x:f>SUM('03_SA_RWA'!D5:D14)</x:f>
        <x:v>406207.6904929024</x:v>
      </x:c>
      <x:c r="C7" s="162" t="n">
        <x:f>'02_Portfolio_Profile'!B10</x:f>
        <x:v>406207.69049290236</x:v>
      </x:c>
      <x:c r="D7" s="163" t="n">
        <x:f>B7-C7</x:f>
        <x:v>5.820766091346741e-11</x:v>
      </x:c>
      <x:c r="E7" s="163" t="n">
        <x:v>0.0001</x:v>
      </x:c>
      <x:c r="F7" s="164" t="str">
        <x:f>IF(ABS(D7)&lt;=E7,"PASS","FAIL")</x:f>
        <x:v>PASS</x:v>
      </x:c>
      <x:c r="G7" s="161" t="str">
        <x:v>Exposure-to-portfolio tie in INR crore</x:v>
      </x:c>
      <x:c r="H7" s="108"/>
      <x:c r="I7" s="108"/>
      <x:c r="J7" s="130" t="str">
        <x:v>Exception count</x:v>
      </x:c>
      <x:c r="K7" s="131" t="n">
        <x:v>0</x:v>
      </x:c>
      <x:c r="L7" s="130" t="str">
        <x:v>PASS</x:v>
      </x:c>
    </x:row>
    <x:row r="8">
      <x:c r="A8" s="161" t="str">
        <x:v>IRB exposure RWA equals portfolio IRB RWA</x:v>
      </x:c>
      <x:c r="B8" s="162" t="n">
        <x:f>SUM('04_IRB_RWA'!F5:F14)</x:f>
        <x:v>728676.4076818406</x:v>
      </x:c>
      <x:c r="C8" s="162" t="n">
        <x:f>'02_Portfolio_Profile'!B11</x:f>
        <x:v>728676.4076818405</x:v>
      </x:c>
      <x:c r="D8" s="163" t="n">
        <x:f>B8-C8</x:f>
        <x:v>1.1641532182693481e-10</x:v>
      </x:c>
      <x:c r="E8" s="163" t="n">
        <x:v>0.0001</x:v>
      </x:c>
      <x:c r="F8" s="164" t="str">
        <x:f>IF(ABS(D8)&lt;=E8,"PASS","FAIL")</x:f>
        <x:v>PASS</x:v>
      </x:c>
      <x:c r="G8" s="161" t="str">
        <x:v>Exposure-to-portfolio tie in INR crore</x:v>
      </x:c>
      <x:c r="H8" s="108"/>
      <x:c r="I8" s="108"/>
      <x:c r="J8" s="130" t="str">
        <x:v>Gross balance</x:v>
      </x:c>
      <x:c r="K8" s="132" t="n">
        <x:v>558645.0087404712</x:v>
      </x:c>
      <x:c r="L8" s="130" t="str">
        <x:v>PASS</x:v>
      </x:c>
    </x:row>
    <x:row r="9">
      <x:c r="A9" s="161" t="str">
        <x:v>Prior RWA plus drivers equals current RWA</x:v>
      </x:c>
      <x:c r="B9" s="162" t="n">
        <x:f>'07_RWA_Bridge'!B5+SUM('07_RWA_Bridge'!B6:B12)</x:f>
        <x:v>728676.4076818405</x:v>
      </x:c>
      <x:c r="C9" s="162" t="n">
        <x:f>'07_RWA_Bridge'!B13</x:f>
        <x:v>728676.4076818405</x:v>
      </x:c>
      <x:c r="D9" s="163" t="n">
        <x:f>B9-C9</x:f>
        <x:v>0</x:v>
      </x:c>
      <x:c r="E9" s="163" t="n">
        <x:v>0.0001</x:v>
      </x:c>
      <x:c r="F9" s="164" t="str">
        <x:f>IF(ABS(D9)&lt;=E9,"PASS","FAIL")</x:f>
        <x:v>PASS</x:v>
      </x:c>
      <x:c r="G9" s="161" t="str">
        <x:v>Residual remains visible</x:v>
      </x:c>
      <x:c r="H9" s="108"/>
      <x:c r="I9" s="108"/>
      <x:c r="J9" s="135" t="str">
        <x:v>Undrawn amount</x:v>
      </x:c>
      <x:c r="K9" s="137" t="n">
        <x:v>352270.5553538803</x:v>
      </x:c>
      <x:c r="L9" s="135" t="str">
        <x:v>PASS</x:v>
      </x:c>
    </x:row>
    <x:row r="10">
      <x:c r="A10" s="161" t="str">
        <x:v>Base capital Total RWA equals scenario final RWA</x:v>
      </x:c>
      <x:c r="B10" s="162" t="n">
        <x:f>'09_Capital_Adequacy'!D5</x:f>
        <x:v>753676.4076818405</x:v>
      </x:c>
      <x:c r="C10" s="162" t="n">
        <x:f>'08_Stress_Test'!F5</x:f>
        <x:v>753676.4076818405</x:v>
      </x:c>
      <x:c r="D10" s="163" t="n">
        <x:f>B10-C10</x:f>
        <x:v>0</x:v>
      </x:c>
      <x:c r="E10" s="163" t="n">
        <x:v>0.0001</x:v>
      </x:c>
      <x:c r="F10" s="164" t="str">
        <x:f>IF(ABS(D10)&lt;=E10,"PASS","FAIL")</x:f>
        <x:v>PASS</x:v>
      </x:c>
      <x:c r="G10" s="161" t="str">
        <x:v>Aggregate floor-aware denominator</x:v>
      </x:c>
      <x:c r="H10" s="108"/>
      <x:c r="I10" s="108"/>
      <x:c r="J10" s="108"/>
      <x:c r="K10" s="108"/>
      <x:c r="L10" s="108"/>
    </x:row>
    <x:row r="11">
      <x:c r="A11" s="165" t="str">
        <x:v>Capital ratio identity</x:v>
      </x:c>
      <x:c r="B11" s="166" t="n">
        <x:f>'09_Capital_Adequacy'!E5</x:f>
        <x:v>0.0862439096</x:v>
      </x:c>
      <x:c r="C11" s="166" t="n">
        <x:f>'09_Capital_Adequacy'!C5/'09_Capital_Adequacy'!D5</x:f>
        <x:v>0.0862439096374625</x:v>
      </x:c>
      <x:c r="D11" s="166" t="n">
        <x:f>B11-C11</x:f>
        <x:v>-3.74625053201072e-11</x:v>
      </x:c>
      <x:c r="E11" s="166" t="n">
        <x:v>1e-7</x:v>
      </x:c>
      <x:c r="F11" s="167" t="str">
        <x:f>IF(ABS(D11)&lt;=E11,"PASS","FAIL")</x:f>
        <x:v>PASS</x:v>
      </x:c>
      <x:c r="G11" s="165" t="str">
        <x:v>CET1 divided by Total RWA</x:v>
      </x:c>
      <x:c r="H11" s="108"/>
      <x:c r="I11" s="108"/>
      <x:c r="J11" s="108"/>
      <x:c r="K11" s="108"/>
      <x:c r="L11" s="108"/>
    </x:row>
    <x:row r="12">
      <x:c r="A12" s="108"/>
      <x:c r="B12" s="108"/>
      <x:c r="C12" s="108"/>
      <x:c r="D12" s="108"/>
      <x:c r="E12" s="108"/>
      <x:c r="F12" s="108"/>
      <x:c r="G12" s="108"/>
      <x:c r="H12" s="108"/>
      <x:c r="I12" s="108"/>
      <x:c r="J12" s="108"/>
      <x:c r="K12" s="108"/>
      <x:c r="L12" s="108"/>
    </x:row>
    <x:row r="13">
      <x:c r="A13" s="108"/>
      <x:c r="B13" s="108"/>
      <x:c r="C13" s="108"/>
      <x:c r="D13" s="108"/>
      <x:c r="E13" s="108"/>
      <x:c r="F13" s="108"/>
      <x:c r="G13" s="108"/>
      <x:c r="H13" s="108"/>
      <x:c r="I13" s="108"/>
      <x:c r="J13" s="108"/>
      <x:c r="K13" s="108"/>
      <x:c r="L13" s="108"/>
    </x:row>
    <x:row r="14" ht="22" customHeight="1">
      <x:c r="A14" s="109" t="str">
        <x:v>Overall model status</x:v>
      </x:c>
      <x:c r="B14" s="109"/>
      <x:c r="C14" s="109"/>
      <x:c r="D14" s="109"/>
      <x:c r="E14" s="109"/>
      <x:c r="F14" s="109"/>
      <x:c r="G14" s="109"/>
      <x:c r="H14" s="108"/>
      <x:c r="I14" s="108"/>
      <x:c r="J14" s="108"/>
      <x:c r="K14" s="108"/>
      <x:c r="L14" s="108"/>
    </x:row>
    <x:row r="15">
      <x:c r="A15" s="108" t="str">
        <x:v>Status</x:v>
      </x:c>
      <x:c r="B15" s="168" t="str">
        <x:f>IF(COUNTIF(F5:F11,"FAIL")=0,"OK","REVIEW")</x:f>
        <x:v>OK</x:v>
      </x:c>
      <x:c r="C15" s="108"/>
      <x:c r="D15" s="108"/>
      <x:c r="E15" s="108"/>
      <x:c r="F15" s="108"/>
      <x:c r="G15" s="108"/>
      <x:c r="H15" s="108"/>
      <x:c r="I15" s="108"/>
      <x:c r="J15" s="108"/>
      <x:c r="K15" s="108"/>
      <x:c r="L15" s="108"/>
    </x:row>
  </x:sheetData>
  <x:mergeCells>
    <x:mergeCell ref="A1:L1"/>
    <x:mergeCell ref="A2:L2"/>
    <x:mergeCell ref="J3:L3"/>
    <x:mergeCell ref="A14:G14"/>
  </x:mergeCells>
  <x:conditionalFormatting sqref="F5:F11">
    <x:cfRule type="containsText" dxfId="2" priority="1" operator="containsText" text="PASS"/>
    <x:cfRule type="containsText" dxfId="3" priority="2" operator="containsText" text="FAIL"/>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74" hidden="0" customWidth="1"/>
    <x:col min="4" max="4" width="22" hidden="0" customWidth="1"/>
  </x:cols>
  <x:sheetData>
    <x:row r="1" ht="30" customHeight="1">
      <x:c r="A1" s="106" t="str">
        <x:v>Methodology and Regulatory Sources</x:v>
      </x:c>
      <x:c r="B1" s="106"/>
      <x:c r="C1" s="106"/>
      <x:c r="D1" s="106"/>
      <x:c r="E1" s="106"/>
      <x:c r="F1" s="106"/>
      <x:c r="G1" s="106"/>
      <x:c r="H1" s="106"/>
      <x:c r="I1" s="106"/>
      <x:c r="J1" s="106"/>
      <x:c r="K1" s="106"/>
      <x:c r="L1" s="106"/>
    </x:row>
    <x:row r="2" ht="24" customHeight="1">
      <x:c r="A2" s="107" t="str">
        <x:v>Plain-language scope, equations, selected assumptions and source lineage</x:v>
      </x:c>
      <x:c r="B2" s="107"/>
      <x:c r="C2" s="107"/>
      <x:c r="D2" s="107"/>
      <x:c r="E2" s="107"/>
      <x:c r="F2" s="107"/>
      <x:c r="G2" s="107"/>
      <x:c r="H2" s="107"/>
      <x:c r="I2" s="107"/>
      <x:c r="J2" s="107"/>
      <x:c r="K2" s="107"/>
      <x:c r="L2" s="107"/>
    </x:row>
    <x:row r="3">
      <x:c r="A3" s="108"/>
      <x:c r="B3" s="108"/>
      <x:c r="C3" s="108"/>
      <x:c r="D3" s="108"/>
      <x:c r="E3" s="108"/>
      <x:c r="F3" s="108"/>
      <x:c r="G3" s="108"/>
      <x:c r="H3" s="108"/>
      <x:c r="I3" s="108"/>
      <x:c r="J3" s="108"/>
      <x:c r="K3" s="108"/>
      <x:c r="L3" s="108"/>
    </x:row>
    <x:row r="4">
      <x:c r="A4" s="119" t="str">
        <x:v>Concept</x:v>
      </x:c>
      <x:c r="B4" s="119" t="str">
        <x:v>Calculation</x:v>
      </x:c>
      <x:c r="C4" s="119" t="str">
        <x:v>Interpretation</x:v>
      </x:c>
      <x:c r="D4" s="108"/>
      <x:c r="E4" s="108"/>
      <x:c r="F4" s="108"/>
      <x:c r="G4" s="108"/>
      <x:c r="H4" s="108"/>
      <x:c r="I4" s="108"/>
      <x:c r="J4" s="108"/>
      <x:c r="K4" s="108"/>
      <x:c r="L4" s="108"/>
    </x:row>
    <x:row r="5">
      <x:c r="A5" s="169" t="str">
        <x:v>EAD and CCF</x:v>
      </x:c>
      <x:c r="B5" s="169" t="str">
        <x:v>Outstanding amount + CCF by commitment type × undrawn amount</x:v>
      </x:c>
      <x:c r="C5" s="169" t="str">
        <x:v>The CCF estimates how much unused credit may be drawn before default.</x:v>
      </x:c>
      <x:c r="D5" s="108"/>
      <x:c r="E5" s="108"/>
      <x:c r="F5" s="108"/>
      <x:c r="G5" s="108"/>
      <x:c r="H5" s="108"/>
      <x:c r="I5" s="108"/>
      <x:c r="J5" s="108"/>
      <x:c r="K5" s="108"/>
      <x:c r="L5" s="108"/>
    </x:row>
    <x:row r="6">
      <x:c r="A6" s="170" t="str">
        <x:v>Mortgage LTV</x:v>
      </x:c>
      <x:c r="B6" s="170" t="str">
        <x:v>(Outstanding + committed undrawn amount) ÷ prudent property value</x:v>
      </x:c>
      <x:c r="C6" s="170" t="str">
        <x:v>LTV selects the mortgage risk weight; it does not replace EAD.</x:v>
      </x:c>
      <x:c r="D6" s="108"/>
      <x:c r="E6" s="108"/>
      <x:c r="F6" s="108"/>
      <x:c r="G6" s="108"/>
      <x:c r="H6" s="108"/>
      <x:c r="I6" s="108"/>
      <x:c r="J6" s="108"/>
      <x:c r="K6" s="108"/>
      <x:c r="L6" s="108"/>
    </x:row>
    <x:row r="7">
      <x:c r="A7" s="170" t="str">
        <x:v>Standardised Approach</x:v>
      </x:c>
      <x:c r="B7" s="170" t="str">
        <x:v>Loan RWA = post-CRM EAD × the risk weight for its Basel exposure class</x:v>
      </x:c>
      <x:c r="C7" s="170" t="str">
        <x:v>Loan results are added to obtain total SA Credit RWA.</x:v>
      </x:c>
      <x:c r="D7" s="108"/>
      <x:c r="E7" s="108"/>
      <x:c r="F7" s="108"/>
      <x:c r="G7" s="108"/>
      <x:c r="H7" s="108"/>
      <x:c r="I7" s="108"/>
      <x:c r="J7" s="108"/>
      <x:c r="K7" s="108"/>
      <x:c r="L7" s="108"/>
    </x:row>
    <x:row r="8">
      <x:c r="A8" s="170" t="str">
        <x:v>Long-run PD</x:v>
      </x:c>
      <x:c r="B8" s="170" t="str">
        <x:v>Synthetic one-year transition tables assign a default rate to each class and internal grade</x:v>
      </x:c>
      <x:c r="C8" s="170" t="str">
        <x:v>The tables demonstrate calibration logic; they are not observed bank history.</x:v>
      </x:c>
      <x:c r="D8" s="108"/>
      <x:c r="E8" s="108"/>
      <x:c r="F8" s="108"/>
      <x:c r="G8" s="108"/>
      <x:c r="H8" s="108"/>
      <x:c r="I8" s="108"/>
      <x:c r="J8" s="108"/>
      <x:c r="K8" s="108"/>
      <x:c r="L8" s="108"/>
    </x:row>
    <x:row r="9">
      <x:c r="A9" s="170" t="str">
        <x:v>Downturn LGD</x:v>
      </x:c>
      <x:c r="B9" s="170" t="str">
        <x:v>Discounted recovery after costs under weaker collateral and slower recovery assumptions</x:v>
      </x:c>
      <x:c r="C9" s="170" t="str">
        <x:v>The downturn estimate is used in the IRB capital calculation.</x:v>
      </x:c>
      <x:c r="D9" s="108"/>
      <x:c r="E9" s="108"/>
      <x:c r="F9" s="108"/>
      <x:c r="G9" s="108"/>
      <x:c r="H9" s="108"/>
      <x:c r="I9" s="108"/>
      <x:c r="J9" s="108"/>
      <x:c r="K9" s="108"/>
      <x:c r="L9" s="108"/>
    </x:row>
    <x:row r="10">
      <x:c r="A10" s="170" t="str">
        <x:v>Market RWA</x:v>
      </x:c>
      <x:c r="B10" s="170" t="str">
        <x:v>12.5 × applicable market-risk capital requirement</x:v>
      </x:c>
      <x:c r="C10" s="170" t="str">
        <x:v>INR 11,000 crore is a synthetic configured input; a bank would calculate the capital requirement from its market-risk positions.</x:v>
      </x:c>
      <x:c r="D10" s="108"/>
      <x:c r="E10" s="108"/>
      <x:c r="F10" s="108"/>
      <x:c r="G10" s="108"/>
      <x:c r="H10" s="108"/>
      <x:c r="I10" s="108"/>
      <x:c r="J10" s="108"/>
      <x:c r="K10" s="108"/>
      <x:c r="L10" s="108"/>
    </x:row>
    <x:row r="11">
      <x:c r="A11" s="170" t="str">
        <x:v>Operational RWA</x:v>
      </x:c>
      <x:c r="B11" s="170" t="str">
        <x:v>12.5 × Business Indicator Component × Internal Loss Multiplier</x:v>
      </x:c>
      <x:c r="C11" s="170" t="str">
        <x:v>INR 14,000 crore is a synthetic configured input; a bank would use financial-statement and operational-loss data.</x:v>
      </x:c>
      <x:c r="D11" s="108"/>
      <x:c r="E11" s="108"/>
      <x:c r="F11" s="108"/>
      <x:c r="G11" s="108"/>
      <x:c r="H11" s="108"/>
      <x:c r="I11" s="108"/>
      <x:c r="J11" s="108"/>
      <x:c r="K11" s="108"/>
      <x:c r="L11" s="108"/>
    </x:row>
    <x:row r="12">
      <x:c r="A12" s="170" t="str">
        <x:v>Expected loss</x:v>
      </x:c>
      <x:c r="B12" s="170" t="str">
        <x:v>EL = PD × LGD × EAD</x:v>
      </x:c>
      <x:c r="C12" s="170" t="str">
        <x:v>Expected loss is reported separately from unexpected-loss capital.</x:v>
      </x:c>
      <x:c r="D12" s="108"/>
      <x:c r="E12" s="108"/>
      <x:c r="F12" s="108"/>
      <x:c r="G12" s="108"/>
      <x:c r="H12" s="108"/>
      <x:c r="I12" s="108"/>
      <x:c r="J12" s="108"/>
      <x:c r="K12" s="108"/>
      <x:c r="L12" s="108"/>
    </x:row>
    <x:row r="13">
      <x:c r="A13" s="170" t="str">
        <x:v>IRB capital</x:v>
      </x:c>
      <x:c r="B13" s="170" t="str">
        <x:v>Conditional PD at 99.9% → K → IRB RWA = 12.5 × K × EAD</x:v>
      </x:c>
      <x:c r="C13" s="170" t="str">
        <x:v>Correlation and maturity treatment follow the applicable corporate or retail function.</x:v>
      </x:c>
      <x:c r="D13" s="108"/>
      <x:c r="E13" s="108"/>
      <x:c r="F13" s="108"/>
      <x:c r="G13" s="108"/>
      <x:c r="H13" s="108"/>
      <x:c r="I13" s="108"/>
      <x:c r="J13" s="108"/>
      <x:c r="K13" s="108"/>
      <x:c r="L13" s="108"/>
    </x:row>
    <x:row r="14">
      <x:c r="A14" s="170" t="str">
        <x:v>Output floor</x:v>
      </x:c>
      <x:c r="B14" s="170" t="str">
        <x:v>Final aggregate RWA is the higher of model RWA and the configured percentage of standardised aggregate RWA</x:v>
      </x:c>
      <x:c r="C14" s="170" t="str">
        <x:v>The floor is applied at bank aggregate level.</x:v>
      </x:c>
      <x:c r="D14" s="108"/>
      <x:c r="E14" s="108"/>
      <x:c r="F14" s="108"/>
      <x:c r="G14" s="108"/>
      <x:c r="H14" s="108"/>
      <x:c r="I14" s="108"/>
      <x:c r="J14" s="108"/>
      <x:c r="K14" s="108"/>
      <x:c r="L14" s="108"/>
    </x:row>
    <x:row r="15">
      <x:c r="A15" s="170" t="str">
        <x:v>Concentration</x:v>
      </x:c>
      <x:c r="B15" s="170" t="str">
        <x:v>HHI = sum of squared exposure shares</x:v>
      </x:c>
      <x:c r="C15" s="170" t="str">
        <x:v>Concentration is an analyst monitoring layer, not a separate Pillar 1 model here.</x:v>
      </x:c>
      <x:c r="D15" s="108"/>
      <x:c r="E15" s="108"/>
      <x:c r="F15" s="108"/>
      <x:c r="G15" s="108"/>
      <x:c r="H15" s="108"/>
      <x:c r="I15" s="108"/>
      <x:c r="J15" s="108"/>
      <x:c r="K15" s="108"/>
      <x:c r="L15" s="108"/>
    </x:row>
    <x:row r="16">
      <x:c r="A16" s="171" t="str">
        <x:v>Stress loss</x:v>
      </x:c>
      <x:c r="B16" s="171" t="str">
        <x:v>Scenario loss rate multiplied by relevant exposure</x:v>
      </x:c>
      <x:c r="C16" s="171" t="str">
        <x:v>Simplified stress-testing capital proxy; not IFRS 9 ECL.</x:v>
      </x:c>
      <x:c r="D16" s="108"/>
      <x:c r="E16" s="108"/>
      <x:c r="F16" s="108"/>
      <x:c r="G16" s="108"/>
      <x:c r="H16" s="108"/>
      <x:c r="I16" s="108"/>
      <x:c r="J16" s="108"/>
      <x:c r="K16" s="108"/>
      <x:c r="L16" s="108"/>
    </x:row>
    <x:row r="17" ht="22" customHeight="1">
      <x:c r="A17" s="109" t="str">
        <x:v>Official conceptual reference set</x:v>
      </x:c>
      <x:c r="B17" s="109"/>
      <x:c r="C17" s="109"/>
      <x:c r="D17" s="109"/>
      <x:c r="E17" s="108"/>
      <x:c r="F17" s="108"/>
      <x:c r="G17" s="108"/>
      <x:c r="H17" s="108"/>
      <x:c r="I17" s="108"/>
      <x:c r="J17" s="108"/>
      <x:c r="K17" s="108"/>
      <x:c r="L17" s="108"/>
    </x:row>
    <x:row r="18">
      <x:c r="A18" s="119" t="str">
        <x:v>Source ID</x:v>
      </x:c>
      <x:c r="B18" s="119" t="str">
        <x:v>Use</x:v>
      </x:c>
      <x:c r="C18" s="119" t="str">
        <x:v>URL</x:v>
      </x:c>
      <x:c r="D18" s="119" t="str">
        <x:v>Note</x:v>
      </x:c>
      <x:c r="E18" s="108"/>
      <x:c r="F18" s="108"/>
      <x:c r="G18" s="108"/>
      <x:c r="H18" s="108"/>
      <x:c r="I18" s="108"/>
      <x:c r="J18" s="108"/>
      <x:c r="K18" s="108"/>
      <x:c r="L18" s="108"/>
    </x:row>
    <x:row r="19">
      <x:c r="A19" s="169" t="str">
        <x:v>RBC20</x:v>
      </x:c>
      <x:c r="B19" s="169" t="str">
        <x:v>Minimum capital ratios, RWA aggregation and output floor</x:v>
      </x:c>
      <x:c r="C19" s="169" t="str">
        <x:v>https://www.bis.org/basel_framework/chapter/RBC/20.htm</x:v>
      </x:c>
      <x:c r="D19" s="169" t="str">
        <x:v>Accessed 2026-08-22</x:v>
      </x:c>
      <x:c r="E19" s="108"/>
      <x:c r="F19" s="108"/>
      <x:c r="G19" s="108"/>
      <x:c r="H19" s="108"/>
      <x:c r="I19" s="108"/>
      <x:c r="J19" s="108"/>
      <x:c r="K19" s="108"/>
      <x:c r="L19" s="108"/>
    </x:row>
    <x:row r="20">
      <x:c r="A20" s="170" t="str">
        <x:v>RBC90</x:v>
      </x:c>
      <x:c r="B20" s="170" t="str">
        <x:v>Output-floor transition</x:v>
      </x:c>
      <x:c r="C20" s="170" t="str">
        <x:v>https://www.bis.org/basel_framework/chapter/RBC/90.htm</x:v>
      </x:c>
      <x:c r="D20" s="170" t="str">
        <x:v>Accessed 2026-08-22</x:v>
      </x:c>
      <x:c r="E20" s="108"/>
      <x:c r="F20" s="108"/>
      <x:c r="G20" s="108"/>
      <x:c r="H20" s="108"/>
      <x:c r="I20" s="108"/>
      <x:c r="J20" s="108"/>
      <x:c r="K20" s="108"/>
      <x:c r="L20" s="108"/>
    </x:row>
    <x:row r="21">
      <x:c r="A21" s="170" t="str">
        <x:v>CRE20</x:v>
      </x:c>
      <x:c r="B21" s="170" t="str">
        <x:v>Standardised Approach exposures</x:v>
      </x:c>
      <x:c r="C21" s="170" t="str">
        <x:v>https://www.bis.org/basel_framework/chapter/CRE/20.htm</x:v>
      </x:c>
      <x:c r="D21" s="170" t="str">
        <x:v>Accessed 2026-08-22</x:v>
      </x:c>
      <x:c r="E21" s="108"/>
      <x:c r="F21" s="108"/>
      <x:c r="G21" s="108"/>
      <x:c r="H21" s="108"/>
      <x:c r="I21" s="108"/>
      <x:c r="J21" s="108"/>
      <x:c r="K21" s="108"/>
      <x:c r="L21" s="108"/>
    </x:row>
    <x:row r="22">
      <x:c r="A22" s="170" t="str">
        <x:v>CRE21</x:v>
      </x:c>
      <x:c r="B22" s="170" t="str">
        <x:v>Use of external ratings</x:v>
      </x:c>
      <x:c r="C22" s="170" t="str">
        <x:v>https://www.bis.org/basel_framework/chapter/CRE/21.htm</x:v>
      </x:c>
      <x:c r="D22" s="170" t="str">
        <x:v>Accessed 2026-08-22</x:v>
      </x:c>
      <x:c r="E22" s="108"/>
      <x:c r="F22" s="108"/>
      <x:c r="G22" s="108"/>
      <x:c r="H22" s="108"/>
      <x:c r="I22" s="108"/>
      <x:c r="J22" s="108"/>
      <x:c r="K22" s="108"/>
      <x:c r="L22" s="108"/>
    </x:row>
    <x:row r="23">
      <x:c r="A23" s="170" t="str">
        <x:v>CRE22</x:v>
      </x:c>
      <x:c r="B23" s="170" t="str">
        <x:v>Credit risk mitigation</x:v>
      </x:c>
      <x:c r="C23" s="170" t="str">
        <x:v>https://www.bis.org/basel_framework/chapter/CRE/22.htm</x:v>
      </x:c>
      <x:c r="D23" s="170" t="str">
        <x:v>Accessed 2026-08-22</x:v>
      </x:c>
      <x:c r="E23" s="108"/>
      <x:c r="F23" s="108"/>
      <x:c r="G23" s="108"/>
      <x:c r="H23" s="108"/>
      <x:c r="I23" s="108"/>
      <x:c r="J23" s="108"/>
      <x:c r="K23" s="108"/>
      <x:c r="L23" s="108"/>
    </x:row>
    <x:row r="24">
      <x:c r="A24" s="170" t="str">
        <x:v>CRE31</x:v>
      </x:c>
      <x:c r="B24" s="170" t="str">
        <x:v>IRB risk-weight functions</x:v>
      </x:c>
      <x:c r="C24" s="170" t="str">
        <x:v>https://www.bis.org/basel_framework/chapter/CRE/31.htm</x:v>
      </x:c>
      <x:c r="D24" s="170" t="str">
        <x:v>Accessed 2026-08-22</x:v>
      </x:c>
      <x:c r="E24" s="108"/>
      <x:c r="F24" s="108"/>
      <x:c r="G24" s="108"/>
      <x:c r="H24" s="108"/>
      <x:c r="I24" s="108"/>
      <x:c r="J24" s="108"/>
      <x:c r="K24" s="108"/>
      <x:c r="L24" s="108"/>
    </x:row>
    <x:row r="25">
      <x:c r="A25" s="170" t="str">
        <x:v>DIS40</x:v>
      </x:c>
      <x:c r="B25" s="170" t="str">
        <x:v>Credit-risk disclosure concepts</x:v>
      </x:c>
      <x:c r="C25" s="170" t="str">
        <x:v>https://www.bis.org/basel_framework/chapter/DIS/40.htm</x:v>
      </x:c>
      <x:c r="D25" s="170" t="str">
        <x:v>Accessed 2026-08-22</x:v>
      </x:c>
      <x:c r="E25" s="108"/>
      <x:c r="F25" s="108"/>
      <x:c r="G25" s="108"/>
      <x:c r="H25" s="108"/>
      <x:c r="I25" s="108"/>
      <x:c r="J25" s="108"/>
      <x:c r="K25" s="108"/>
      <x:c r="L25" s="108"/>
    </x:row>
    <x:row r="26">
      <x:c r="A26" s="170" t="str">
        <x:v>MAR20</x:v>
      </x:c>
      <x:c r="B26" s="170" t="str">
        <x:v>Market-risk capital and RWA</x:v>
      </x:c>
      <x:c r="C26" s="170" t="str">
        <x:v>https://www.bis.org/basel_framework/chapter/MAR/20.htm</x:v>
      </x:c>
      <x:c r="D26" s="170" t="str">
        <x:v>Accessed 2026-08-23</x:v>
      </x:c>
      <x:c r="E26" s="108"/>
      <x:c r="F26" s="108"/>
      <x:c r="G26" s="108"/>
      <x:c r="H26" s="108"/>
      <x:c r="I26" s="108"/>
      <x:c r="J26" s="108"/>
      <x:c r="K26" s="108"/>
      <x:c r="L26" s="108"/>
    </x:row>
    <x:row r="27">
      <x:c r="A27" s="170" t="str">
        <x:v>OPE25</x:v>
      </x:c>
      <x:c r="B27" s="170" t="str">
        <x:v>Operational-risk Standardised Approach</x:v>
      </x:c>
      <x:c r="C27" s="170" t="str">
        <x:v>https://www.bis.org/basel_framework/chapter/OPE/25.htm</x:v>
      </x:c>
      <x:c r="D27" s="170" t="str">
        <x:v>Accessed 2026-08-23</x:v>
      </x:c>
      <x:c r="E27" s="108"/>
      <x:c r="F27" s="108"/>
      <x:c r="G27" s="108"/>
      <x:c r="H27" s="108"/>
      <x:c r="I27" s="108"/>
      <x:c r="J27" s="108"/>
      <x:c r="K27" s="108"/>
      <x:c r="L27" s="108"/>
    </x:row>
    <x:row r="28">
      <x:c r="A28" s="170" t="str">
        <x:v>CRE36</x:v>
      </x:c>
      <x:c r="B28" s="170" t="str">
        <x:v>IRB estimation and stress requirements</x:v>
      </x:c>
      <x:c r="C28" s="170" t="str">
        <x:v>https://www.bis.org/basel_framework/chapter/CRE/36.htm</x:v>
      </x:c>
      <x:c r="D28" s="170" t="str">
        <x:v>Accessed 2026-08-23</x:v>
      </x:c>
      <x:c r="E28" s="108"/>
      <x:c r="F28" s="108"/>
      <x:c r="G28" s="108"/>
      <x:c r="H28" s="108"/>
      <x:c r="I28" s="108"/>
      <x:c r="J28" s="108"/>
      <x:c r="K28" s="108"/>
      <x:c r="L28" s="108"/>
    </x:row>
    <x:row r="29">
      <x:c r="A29" s="171" t="str">
        <x:v>BCBS Stress</x:v>
      </x:c>
      <x:c r="B29" s="171" t="str">
        <x:v>Stress-testing principles</x:v>
      </x:c>
      <x:c r="C29" s="171" t="str">
        <x:v>https://www.bis.org/bcbs/publ/d450.htm</x:v>
      </x:c>
      <x:c r="D29" s="171" t="str">
        <x:v>Accessed 2026-08-23</x:v>
      </x:c>
      <x:c r="E29" s="108"/>
      <x:c r="F29" s="108"/>
      <x:c r="G29" s="108"/>
      <x:c r="H29" s="108"/>
      <x:c r="I29" s="108"/>
      <x:c r="J29" s="108"/>
      <x:c r="K29" s="108"/>
      <x:c r="L29" s="108"/>
    </x:row>
    <x:row r="30">
      <x:c r="A30" s="108"/>
      <x:c r="B30" s="108"/>
      <x:c r="C30" s="108"/>
      <x:c r="D30" s="108"/>
      <x:c r="E30" s="108"/>
      <x:c r="F30" s="108"/>
      <x:c r="G30" s="108"/>
      <x:c r="H30" s="108"/>
      <x:c r="I30" s="108"/>
      <x:c r="J30" s="108"/>
      <x:c r="K30" s="108"/>
      <x:c r="L30" s="108"/>
    </x:row>
    <x:row r="31">
      <x:c r="A31" s="108"/>
      <x:c r="B31" s="108"/>
      <x:c r="C31" s="108"/>
      <x:c r="D31" s="108"/>
      <x:c r="E31" s="108"/>
      <x:c r="F31" s="108"/>
      <x:c r="G31" s="108"/>
      <x:c r="H31" s="108"/>
      <x:c r="I31" s="108"/>
      <x:c r="J31" s="108"/>
      <x:c r="K31" s="108"/>
      <x:c r="L31" s="108"/>
    </x:row>
    <x:row r="32" ht="22" customHeight="1">
      <x:c r="A32" s="109" t="str">
        <x:v>Key limitations</x:v>
      </x:c>
      <x:c r="B32" s="109"/>
      <x:c r="C32" s="109"/>
      <x:c r="D32" s="108"/>
      <x:c r="E32" s="108"/>
      <x:c r="F32" s="108"/>
      <x:c r="G32" s="108"/>
      <x:c r="H32" s="108"/>
      <x:c r="I32" s="108"/>
      <x:c r="J32" s="108"/>
      <x:c r="K32" s="108"/>
      <x:c r="L32" s="108"/>
    </x:row>
    <x:row r="33" ht="28" customHeight="1">
      <x:c r="A33" s="172" t="str">
        <x:v>All data are synthetic.</x:v>
      </x:c>
      <x:c r="B33" s="172"/>
      <x:c r="C33" s="172"/>
      <x:c r="D33" s="108"/>
      <x:c r="E33" s="108"/>
      <x:c r="F33" s="108"/>
      <x:c r="G33" s="108"/>
      <x:c r="H33" s="108"/>
      <x:c r="I33" s="108"/>
      <x:c r="J33" s="108"/>
      <x:c r="K33" s="108"/>
      <x:c r="L33" s="108"/>
    </x:row>
    <x:row r="34" ht="28" customHeight="1">
      <x:c r="A34" s="172" t="str">
        <x:v>The IRB layer demonstrates formula mechanics and does not imply supervisory approval.</x:v>
      </x:c>
      <x:c r="B34" s="172"/>
      <x:c r="C34" s="172"/>
      <x:c r="D34" s="108"/>
      <x:c r="E34" s="108"/>
      <x:c r="F34" s="108"/>
      <x:c r="G34" s="108"/>
      <x:c r="H34" s="108"/>
      <x:c r="I34" s="108"/>
      <x:c r="J34" s="108"/>
      <x:c r="K34" s="108"/>
      <x:c r="L34" s="108"/>
    </x:row>
    <x:row r="35" ht="28" customHeight="1">
      <x:c r="A35" s="172" t="str">
        <x:v>National implementation choices and transition schedules can differ.</x:v>
      </x:c>
      <x:c r="B35" s="172"/>
      <x:c r="C35" s="172"/>
      <x:c r="D35" s="108"/>
      <x:c r="E35" s="108"/>
      <x:c r="F35" s="108"/>
      <x:c r="G35" s="108"/>
      <x:c r="H35" s="108"/>
      <x:c r="I35" s="108"/>
      <x:c r="J35" s="108"/>
      <x:c r="K35" s="108"/>
      <x:c r="L35" s="108"/>
    </x:row>
    <x:row r="36" ht="28" customHeight="1">
      <x:c r="A36" s="172" t="str">
        <x:v>Market and Operational RWA are synthetic configured inputs; their calculation routes are shown above.</x:v>
      </x:c>
      <x:c r="B36" s="172"/>
      <x:c r="C36" s="172"/>
      <x:c r="D36" s="108"/>
      <x:c r="E36" s="108"/>
      <x:c r="F36" s="108"/>
      <x:c r="G36" s="108"/>
      <x:c r="H36" s="108"/>
      <x:c r="I36" s="108"/>
      <x:c r="J36" s="108"/>
      <x:c r="K36" s="108"/>
      <x:c r="L36" s="108"/>
    </x:row>
    <x:row r="37" ht="28" customHeight="1">
      <x:c r="A37" s="172" t="str">
        <x:v>CCR, CVA, securitisation, FRTB and full market- and operational-risk engines are outside scope.</x:v>
      </x:c>
      <x:c r="B37" s="172"/>
      <x:c r="C37" s="172"/>
      <x:c r="D37" s="108"/>
      <x:c r="E37" s="108"/>
      <x:c r="F37" s="108"/>
      <x:c r="G37" s="108"/>
      <x:c r="H37" s="108"/>
      <x:c r="I37" s="108"/>
      <x:c r="J37" s="108"/>
      <x:c r="K37" s="108"/>
      <x:c r="L37" s="108"/>
    </x:row>
  </x:sheetData>
  <x:mergeCells>
    <x:mergeCell ref="A1:L1"/>
    <x:mergeCell ref="A2:L2"/>
    <x:mergeCell ref="A17:D17"/>
    <x:mergeCell ref="A32:C32"/>
    <x:mergeCell ref="A33:C33"/>
    <x:mergeCell ref="A34:C34"/>
    <x:mergeCell ref="A35:C35"/>
    <x:mergeCell ref="A36:C36"/>
    <x:mergeCell ref="A37:C37"/>
  </x:mergeCells>
  <x:pageMargins left="0.7" right="0.7" top="0.75" bottom="0.75" header="0.3" footer="0.3"/>
</x:worksheet>
</file>