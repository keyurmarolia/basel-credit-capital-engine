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2.xml" ContentType="application/vnd.openxmlformats-officedocument.spreadsheetml.worksheet+xml"/>
  <Override PartName="/xl/drawings/drawing2.xml" ContentType="application/vnd.openxmlformats-officedocument.drawing+xml"/>
  <Override PartName="/xl/drawings/charts/chart3.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drawings/charts/chart4.xml" ContentType="application/vnd.openxmlformats-officedocument.drawingml.chart+xml"/>
  <Override PartName="/xl/tables/table5.xml" ContentType="application/vnd.openxmlformats-officedocument.spreadsheetml.table+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drawings/drawing4.xml" ContentType="application/vnd.openxmlformats-officedocument.drawing+xml"/>
  <Override PartName="/xl/drawings/charts/chart5.xml" ContentType="application/vnd.openxmlformats-officedocument.drawingml.chart+xml"/>
  <Override PartName="/xl/tables/table8.xml" ContentType="application/vnd.openxmlformats-officedocument.spreadsheetml.table+xml"/>
  <Override PartName="/xl/worksheets/sheet8.xml" ContentType="application/vnd.openxmlformats-officedocument.spreadsheetml.worksheet+xml"/>
  <Override PartName="/xl/drawings/drawing5.xml" ContentType="application/vnd.openxmlformats-officedocument.drawing+xml"/>
  <Override PartName="/xl/drawings/charts/chart6.xml" ContentType="application/vnd.openxmlformats-officedocument.drawingml.chart+xml"/>
  <Override PartName="/xl/tables/table9.xml" ContentType="application/vnd.openxmlformats-officedocument.spreadsheetml.table+xml"/>
  <Override PartName="/xl/tables/table10.xml" ContentType="application/vnd.openxmlformats-officedocument.spreadsheetml.table+xml"/>
  <Override PartName="/xl/worksheets/sheet9.xml" ContentType="application/vnd.openxmlformats-officedocument.spreadsheetml.worksheet+xml"/>
  <Override PartName="/xl/drawings/drawing6.xml" ContentType="application/vnd.openxmlformats-officedocument.drawing+xml"/>
  <Override PartName="/xl/drawings/charts/chart7.xml" ContentType="application/vnd.openxmlformats-officedocument.drawingml.chart+xml"/>
  <Override PartName="/xl/tables/table11.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a2c24c7cb1dc4f2a" /></Relationships>
</file>

<file path=xl/workbook.xml><?xml version="1.0" encoding="utf-8"?>
<x:workbook xmlns:x="http://schemas.openxmlformats.org/spreadsheetml/2006/main">
  <x:sheets>
    <x:sheet xmlns:r="http://schemas.openxmlformats.org/officeDocument/2006/relationships" name="01_Executive_Summary" sheetId="1" r:id="R3026e59171dc4de5"/>
    <x:sheet xmlns:r="http://schemas.openxmlformats.org/officeDocument/2006/relationships" name="02_Portfolio_Profile" sheetId="2" r:id="R5f984c9416c14383"/>
    <x:sheet xmlns:r="http://schemas.openxmlformats.org/officeDocument/2006/relationships" name="03_SA_RWA" sheetId="3" r:id="R3e09b7e527d34a9c"/>
    <x:sheet xmlns:r="http://schemas.openxmlformats.org/officeDocument/2006/relationships" name="04_IRB_RWA" sheetId="4" r:id="R95500ed8de7b4f0e"/>
    <x:sheet xmlns:r="http://schemas.openxmlformats.org/officeDocument/2006/relationships" name="05_SA_vs_IRB" sheetId="5" r:id="R2ae4f0afefd84f14"/>
    <x:sheet xmlns:r="http://schemas.openxmlformats.org/officeDocument/2006/relationships" name="06_Concentration" sheetId="6" r:id="R159901475cf94171"/>
    <x:sheet xmlns:r="http://schemas.openxmlformats.org/officeDocument/2006/relationships" name="07_RWA_Bridge" sheetId="7" r:id="Rfcaaf4e595f64a63"/>
    <x:sheet xmlns:r="http://schemas.openxmlformats.org/officeDocument/2006/relationships" name="08_Stress_Test" sheetId="8" r:id="R267a9dcd9d9f40d0"/>
    <x:sheet xmlns:r="http://schemas.openxmlformats.org/officeDocument/2006/relationships" name="09_Capital_Adequacy" sheetId="9" r:id="R8a30817c2e7949dd"/>
    <x:sheet xmlns:r="http://schemas.openxmlformats.org/officeDocument/2006/relationships" name="10_Reconciliation" sheetId="10" r:id="Rfbc7bb5b02ea4f22"/>
    <x:sheet xmlns:r="http://schemas.openxmlformats.org/officeDocument/2006/relationships" name="11_Methodology" sheetId="11" r:id="R9db7f455a9814ec9"/>
  </x:sheets>
</x:workbook>
</file>

<file path=xl/sharedStrings.xml><?xml version="1.0" encoding="utf-8"?>
<x:sst xmlns:x="http://schemas.openxmlformats.org/spreadsheetml/2006/main"/>
</file>

<file path=xl/styles.xml><?xml version="1.0" encoding="utf-8"?>
<x:styleSheet xmlns:x="http://schemas.openxmlformats.org/spreadsheetml/2006/main">
  <x:numFmts count="7">
    <x:numFmt numFmtId="200" formatCode="#,##0"/>
    <x:numFmt numFmtId="201" formatCode="#,##0.0;[Red](#,##0.0);-"/>
    <x:numFmt numFmtId="202" formatCode="0.0%;[Red](0.0%);-"/>
    <x:numFmt numFmtId="203" formatCode="0.0000"/>
    <x:numFmt numFmtId="204" formatCode="0.00x"/>
    <x:numFmt numFmtId="205" formatCode="0.0000%"/>
    <x:numFmt numFmtId="206" formatCode="0.0%"/>
  </x:numFmts>
  <x:fonts count="22">
    <x:font>
      <x:sz val="11"/>
      <x:name val="Carlito"/>
    </x:font>
    <x:font>
      <x:b/>
      <x:sz val="18"/>
      <x:color rgb="FFFFFFFF"/>
      <x:name val="Carlito"/>
    </x:font>
    <x:font>
      <x:i/>
      <x:sz val="10"/>
      <x:color rgb="FF0B3A53"/>
      <x:name val="Carlito"/>
    </x:font>
    <x:font>
      <x:b/>
      <x:sz val="11"/>
      <x:color rgb="FFFFFFFF"/>
      <x:name val="Carlito"/>
    </x:font>
    <x:font>
      <x:sz val="9"/>
      <x:color rgb="FF000000"/>
      <x:name val="Carlito"/>
    </x:font>
    <x:font>
      <x:b/>
      <x:sz val="11"/>
      <x:name val="Carlito"/>
    </x:font>
    <x:font>
      <x:i/>
      <x:sz val="11"/>
      <x:color rgb="FF0B3A53"/>
      <x:name val="Carlito"/>
    </x:font>
    <x:font>
      <x:sz val="11"/>
      <x:color rgb="FF008000"/>
      <x:name val="Carlito"/>
    </x:font>
    <x:font>
      <x:b/>
      <x:sz val="14"/>
      <x:color rgb="FF1E8449"/>
      <x:name val="Carlito"/>
    </x:font>
    <x:font>
      <x:b/>
      <x:sz val="12"/>
      <x:color rgb="FF008000"/>
      <x:name val="Carlito"/>
    </x:font>
    <x:font>
      <x:b/>
      <x:sz val="18"/>
      <x:color rgb="FFFFFFFF"/>
      <x:name val="Arial"/>
    </x:font>
    <x:font>
      <x:i/>
      <x:sz val="10"/>
      <x:color rgb="FF0B3A53"/>
      <x:name val="Arial"/>
    </x:font>
    <x:font>
      <x:sz val="11"/>
      <x:name val="Arial"/>
    </x:font>
    <x:font>
      <x:b/>
      <x:sz val="11"/>
      <x:color rgb="FFFFFFFF"/>
      <x:name val="Arial"/>
    </x:font>
    <x:font>
      <x:b/>
      <x:sz val="12"/>
      <x:color rgb="FF008000"/>
      <x:name val="Arial"/>
    </x:font>
    <x:font>
      <x:sz val="11"/>
      <x:color rgb="FF008000"/>
      <x:name val="Arial"/>
    </x:font>
    <x:font>
      <x:sz val="9"/>
      <x:color rgb="FF000000"/>
      <x:name val="Arial"/>
    </x:font>
    <x:font>
      <x:b/>
      <x:sz val="11"/>
      <x:name val="Arial"/>
    </x:font>
    <x:font>
      <x:i/>
      <x:sz val="11"/>
      <x:color rgb="FF0B3A53"/>
      <x:name val="Arial"/>
    </x:font>
    <x:font>
      <x:b/>
      <x:sz val="14"/>
      <x:color rgb="FF1E8449"/>
      <x:name val="Arial"/>
    </x:font>
    <x:font>
      <x:b/>
      <x:sz val="11"/>
      <x:color rgb="FF000000"/>
      <x:name val="Arial"/>
    </x:font>
    <x:font>
      <x:sz val="11"/>
      <x:color rgb="FF000000"/>
      <x:name val="Arial"/>
    </x:font>
  </x:fonts>
  <x:fills count="11">
    <x:fill>
      <x:patternFill patternType="none"/>
    </x:fill>
    <x:fill>
      <x:patternFill patternType="gray125"/>
    </x:fill>
    <x:fill>
      <x:patternFill patternType="solid">
        <x:fgColor rgb="FF0B3A53"/>
      </x:patternFill>
    </x:fill>
    <x:fill>
      <x:patternFill patternType="solid">
        <x:fgColor rgb="FFEAF2F8"/>
      </x:patternFill>
    </x:fill>
    <x:fill>
      <x:patternFill patternType="solid">
        <x:fgColor rgb="FF1F77B4"/>
      </x:patternFill>
    </x:fill>
    <x:fill>
      <x:patternFill patternType="solid">
        <x:fgColor rgb="FFF4F6F7"/>
      </x:patternFill>
    </x:fill>
    <x:fill>
      <x:patternFill patternType="solid">
        <x:fgColor rgb="FFD5F5E3"/>
      </x:patternFill>
    </x:fill>
    <x:fill>
      <x:patternFill patternType="solid">
        <x:fgColor rgb="FF2A9D8F"/>
      </x:patternFill>
    </x:fill>
    <x:fill>
      <x:patternFill patternType="solid">
        <x:fgColor rgb="FF247FB3"/>
      </x:patternFill>
    </x:fill>
    <x:fill>
      <x:patternFill patternType="solid">
        <x:fgColor rgb="FFFFFFFF"/>
      </x:patternFill>
    </x:fill>
    <x:fill>
      <x:patternFill patternType="solid">
        <x:fgColor rgb="FF0B3F56"/>
      </x:patternFill>
    </x:fill>
  </x:fills>
  <x:borders count="8">
    <x:border/>
    <x:border>
      <x:left style="thin">
        <x:color rgb="FF0B3A53"/>
      </x:left>
      <x:top style="thin">
        <x:color rgb="FF0B3A53"/>
      </x:top>
      <x:bottom style="thin">
        <x:color rgb="FF0B3A53"/>
      </x:bottom>
    </x:border>
    <x:border>
      <x:right style="thin">
        <x:color rgb="FF0B3A53"/>
      </x:right>
      <x:top style="thin">
        <x:color rgb="FF0B3A53"/>
      </x:top>
      <x:bottom style="thin">
        <x:color rgb="FF0B3A53"/>
      </x:bottom>
    </x:border>
    <x:border>
      <x:bottom style="thin">
        <x:color rgb="FFD9E1E8"/>
      </x:bottom>
    </x:border>
    <x:border>
      <x:top style="thin">
        <x:color rgb="FFD9E1E8"/>
      </x:top>
      <x:bottom style="thin">
        <x:color rgb="FFD9E1E8"/>
      </x:bottom>
    </x:border>
    <x:border>
      <x:top style="thin">
        <x:color rgb="FFD9E1E8"/>
      </x:top>
    </x:border>
    <x:border>
      <x:top style="thin">
        <x:color rgb="FF0B3A53"/>
      </x:top>
      <x:bottom style="thin">
        <x:color rgb="FF0B3A53"/>
      </x:bottom>
    </x:border>
    <x:border>
      <x:top style="double">
        <x:color rgb="FF0B3A53"/>
      </x:top>
    </x:border>
  </x:borders>
  <x:cellStyleXfs count="1">
    <x:xf numFmtId="0" fontId="0" fillId="0" borderId="0"/>
  </x:cellStyleXfs>
  <x:cellXfs count="185">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3" fillId="2" borderId="0" xfId="0" applyNumberFormat="1" applyFont="1" applyFill="1" applyBorder="1"/>
    <x:xf numFmtId="0" fontId="3" fillId="2"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3" fillId="4" borderId="1" xfId="0" applyNumberFormat="1" applyFont="1" applyFill="1" applyBorder="1" applyAlignment="1">
      <x:alignment wrapText="1"/>
    </x:xf>
    <x:xf numFmtId="0" fontId="3" fillId="4" borderId="2"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2"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3" fillId="4" borderId="2" xfId="0" applyNumberFormat="1" applyFont="1" applyFill="1" applyBorder="1" applyAlignment="1">
      <x:alignment horizontal="center" vertical="center" wrapText="1"/>
    </x:xf>
    <x:xf numFmtId="0" fontId="4" fillId="0" borderId="0" xfId="0" applyNumberFormat="1" applyFont="1" applyFill="1" applyBorder="1"/>
    <x:xf numFmtId="0" fontId="4" fillId="0" borderId="3" xfId="0" applyNumberFormat="1" applyFont="1" applyFill="1" applyBorder="1"/>
    <x:xf numFmtId="0" fontId="4" fillId="0" borderId="4" xfId="0" applyNumberFormat="1" applyFont="1" applyFill="1" applyBorder="1"/>
    <x:xf numFmtId="0" fontId="4" fillId="0" borderId="5" xfId="0" applyNumberFormat="1" applyFont="1" applyFill="1" applyBorder="1"/>
    <x:xf numFmtId="0" fontId="4" fillId="0" borderId="3" xfId="0" applyNumberFormat="1" applyFont="1" applyFill="1" applyBorder="1" applyAlignment="1">
      <x:alignment vertical="center"/>
    </x:xf>
    <x:xf numFmtId="0" fontId="4" fillId="0" borderId="4" xfId="0" applyNumberFormat="1" applyFont="1" applyFill="1" applyBorder="1" applyAlignment="1">
      <x:alignment vertical="center"/>
    </x:xf>
    <x:xf numFmtId="0" fontId="4" fillId="0" borderId="5" xfId="0" applyNumberFormat="1" applyFont="1" applyFill="1" applyBorder="1" applyAlignment="1">
      <x:alignment vertical="center"/>
    </x:xf>
    <x:xf numFmtId="0" fontId="3" fillId="4" borderId="6" xfId="0" applyNumberFormat="1" applyFont="1" applyFill="1" applyBorder="1"/>
    <x:xf numFmtId="0" fontId="3" fillId="4" borderId="6" xfId="0" applyNumberFormat="1" applyFont="1" applyFill="1" applyBorder="1" applyAlignment="1">
      <x:alignment wrapText="1"/>
    </x:xf>
    <x:xf numFmtId="0" fontId="3" fillId="4" borderId="6" xfId="0" applyNumberFormat="1" applyFont="1" applyFill="1" applyBorder="1" applyAlignment="1">
      <x:alignment horizontal="center" wrapText="1"/>
    </x:xf>
    <x:xf numFmtId="0" fontId="3" fillId="4" borderId="6" xfId="0" applyNumberFormat="1" applyFont="1" applyFill="1" applyBorder="1" applyAlignment="1">
      <x:alignment horizontal="center" vertical="center" wrapText="1"/>
    </x:xf>
    <x:xf numFmtId="200" fontId="4" fillId="0" borderId="3" xfId="0" applyNumberFormat="1" applyFont="1" applyFill="1" applyBorder="1" applyAlignment="1">
      <x:alignment vertical="center"/>
    </x:xf>
    <x:xf numFmtId="200" fontId="4" fillId="0" borderId="4" xfId="0" applyNumberFormat="1" applyFont="1" applyFill="1" applyBorder="1" applyAlignment="1">
      <x:alignment vertical="center"/>
    </x:xf>
    <x:xf numFmtId="200" fontId="4" fillId="0" borderId="5" xfId="0" applyNumberFormat="1" applyFont="1" applyFill="1" applyBorder="1" applyAlignment="1">
      <x:alignment vertical="center"/>
    </x:xf>
    <x:xf numFmtId="200" fontId="0" fillId="0" borderId="0" xfId="0" applyNumberFormat="1" applyFont="1" applyFill="1" applyBorder="1"/>
    <x:xf numFmtId="201" fontId="4" fillId="0" borderId="4" xfId="0" applyNumberFormat="1" applyFont="1" applyFill="1" applyBorder="1" applyAlignment="1">
      <x:alignment vertical="center"/>
    </x:xf>
    <x:xf numFmtId="201" fontId="4" fillId="0" borderId="3" xfId="0" applyNumberFormat="1" applyFont="1" applyFill="1" applyBorder="1" applyAlignment="1">
      <x:alignment vertical="center"/>
    </x:xf>
    <x:xf numFmtId="201" fontId="4" fillId="0" borderId="5" xfId="0" applyNumberFormat="1" applyFont="1" applyFill="1" applyBorder="1" applyAlignment="1">
      <x:alignment vertical="center"/>
    </x:xf>
    <x:xf numFmtId="201" fontId="0" fillId="0" borderId="0" xfId="0" applyNumberFormat="1" applyFont="1" applyFill="1" applyBorder="1"/>
    <x:xf numFmtId="202" fontId="4" fillId="0" borderId="5" xfId="0" applyNumberFormat="1" applyFont="1" applyFill="1" applyBorder="1" applyAlignment="1">
      <x:alignment vertical="center"/>
    </x:xf>
    <x:xf numFmtId="202" fontId="4" fillId="0" borderId="3" xfId="0" applyNumberFormat="1" applyFont="1" applyFill="1" applyBorder="1" applyAlignment="1">
      <x:alignment vertical="center"/>
    </x:xf>
    <x:xf numFmtId="202" fontId="4" fillId="0" borderId="4" xfId="0" applyNumberFormat="1" applyFont="1" applyFill="1" applyBorder="1" applyAlignment="1">
      <x:alignment vertical="center"/>
    </x:xf>
    <x:xf numFmtId="202" fontId="0" fillId="0" borderId="0" xfId="0" applyNumberFormat="1" applyFont="1" applyFill="1" applyBorder="1"/>
    <x:xf numFmtId="203" fontId="4" fillId="0" borderId="3" xfId="0" applyNumberFormat="1" applyFont="1" applyFill="1" applyBorder="1" applyAlignment="1">
      <x:alignment vertical="center"/>
    </x:xf>
    <x:xf numFmtId="203" fontId="4" fillId="0" borderId="4" xfId="0" applyNumberFormat="1" applyFont="1" applyFill="1" applyBorder="1" applyAlignment="1">
      <x:alignment vertical="center"/>
    </x:xf>
    <x:xf numFmtId="203" fontId="4" fillId="0" borderId="5" xfId="0" applyNumberFormat="1" applyFont="1" applyFill="1" applyBorder="1" applyAlignment="1">
      <x:alignment vertical="center"/>
    </x:xf>
    <x:xf numFmtId="203" fontId="0" fillId="0" borderId="0" xfId="0" applyNumberFormat="1" applyFont="1" applyFill="1" applyBorder="1"/>
    <x:xf numFmtId="0" fontId="5" fillId="0" borderId="0" xfId="0" applyNumberFormat="1" applyFont="1" applyFill="1" applyBorder="1"/>
    <x:xf numFmtId="0" fontId="5" fillId="0" borderId="7" xfId="0" applyNumberFormat="1" applyFont="1" applyFill="1" applyBorder="1"/>
    <x:xf numFmtId="201" fontId="5" fillId="0" borderId="7"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4" fillId="0" borderId="0" xfId="0" applyNumberFormat="1" applyFont="1" applyFill="1" applyBorder="1">
      <x:extLst>
        <x:ext uri="{C7286773-470A-42A8-94C5-96B5CB345126}">
          <xfpb:xfComplement xmlns:xfpb="http://schemas.microsoft.com/office/spreadsheetml/2022/featurepropertybag" i="0"/>
        </x:ext>
      </x:extLst>
    </x:xf>
    <x:xf numFmtId="0" fontId="4" fillId="0" borderId="3" xfId="0" applyNumberFormat="1" applyFont="1" applyFill="1" applyBorder="1">
      <x:extLst>
        <x:ext uri="{C7286773-470A-42A8-94C5-96B5CB345126}">
          <xfpb:xfComplement xmlns:xfpb="http://schemas.microsoft.com/office/spreadsheetml/2022/featurepropertybag" i="0"/>
        </x:ext>
      </x:extLst>
    </x:xf>
    <x:xf numFmtId="0" fontId="4" fillId="0" borderId="4" xfId="0" applyNumberFormat="1" applyFont="1" applyFill="1" applyBorder="1">
      <x:extLst>
        <x:ext uri="{C7286773-470A-42A8-94C5-96B5CB345126}">
          <xfpb:xfComplement xmlns:xfpb="http://schemas.microsoft.com/office/spreadsheetml/2022/featurepropertybag" i="0"/>
        </x:ext>
      </x:extLst>
    </x:xf>
    <x:xf numFmtId="0" fontId="4" fillId="0" borderId="5" xfId="0" applyNumberFormat="1" applyFont="1" applyFill="1" applyBorder="1">
      <x:extLst>
        <x:ext uri="{C7286773-470A-42A8-94C5-96B5CB345126}">
          <xfpb:xfComplement xmlns:xfpb="http://schemas.microsoft.com/office/spreadsheetml/2022/featurepropertybag" i="0"/>
        </x:ext>
      </x:extLst>
    </x:xf>
    <x:xf numFmtId="0" fontId="4" fillId="0" borderId="3" xfId="0" applyNumberFormat="1" applyFont="1" applyFill="1" applyBorder="1" applyAlignment="1">
      <x:alignment vertical="center"/>
      <x:extLst>
        <x:ext uri="{C7286773-470A-42A8-94C5-96B5CB345126}">
          <xfpb:xfComplement xmlns:xfpb="http://schemas.microsoft.com/office/spreadsheetml/2022/featurepropertybag" i="0"/>
        </x:ext>
      </x:extLst>
    </x:xf>
    <x:xf numFmtId="0" fontId="4" fillId="0" borderId="4" xfId="0" applyNumberFormat="1" applyFont="1" applyFill="1" applyBorder="1" applyAlignment="1">
      <x:alignment vertical="center"/>
      <x:extLst>
        <x:ext uri="{C7286773-470A-42A8-94C5-96B5CB345126}">
          <xfpb:xfComplement xmlns:xfpb="http://schemas.microsoft.com/office/spreadsheetml/2022/featurepropertybag" i="0"/>
        </x:ext>
      </x:extLst>
    </x:xf>
    <x:xf numFmtId="0" fontId="4" fillId="0" borderId="5" xfId="0" applyNumberFormat="1" applyFont="1" applyFill="1" applyBorder="1" applyAlignment="1">
      <x:alignment vertical="center"/>
      <x:extLst>
        <x:ext uri="{C7286773-470A-42A8-94C5-96B5CB345126}">
          <xfpb:xfComplement xmlns:xfpb="http://schemas.microsoft.com/office/spreadsheetml/2022/featurepropertybag" i="0"/>
        </x:ext>
      </x:extLst>
    </x:xf>
    <x:xf numFmtId="204" fontId="4" fillId="0" borderId="3" xfId="0" applyNumberFormat="1" applyFont="1" applyFill="1" applyBorder="1" applyAlignment="1">
      <x:alignment vertical="center"/>
    </x:xf>
    <x:xf numFmtId="204" fontId="4" fillId="0" borderId="4" xfId="0" applyNumberFormat="1" applyFont="1" applyFill="1" applyBorder="1" applyAlignment="1">
      <x:alignment vertical="center"/>
    </x:xf>
    <x:xf numFmtId="204" fontId="4" fillId="0" borderId="5" xfId="0" applyNumberFormat="1" applyFont="1" applyFill="1" applyBorder="1" applyAlignment="1">
      <x:alignment vertical="center"/>
    </x:xf>
    <x:xf numFmtId="202" fontId="3" fillId="4" borderId="2" xfId="0" applyNumberFormat="1" applyFont="1" applyFill="1" applyBorder="1" applyAlignment="1">
      <x:alignment horizontal="center" vertical="center" wrapText="1"/>
    </x:xf>
    <x:xf numFmtId="0" fontId="0" fillId="5" borderId="0" xfId="0" applyNumberFormat="1" applyFont="1" applyFill="1" applyBorder="1"/>
    <x:xf numFmtId="201" fontId="0" fillId="5" borderId="0" xfId="0" applyNumberFormat="1" applyFont="1" applyFill="1" applyBorder="1"/>
    <x:xf numFmtId="0" fontId="5" fillId="5" borderId="0" xfId="0" applyNumberFormat="1" applyFont="1" applyFill="1" applyBorder="1"/>
    <x:xf numFmtId="201" fontId="5" fillId="5" borderId="0" xfId="0" applyNumberFormat="1" applyFont="1" applyFill="1" applyBorder="1"/>
    <x:xf numFmtId="0" fontId="6" fillId="5" borderId="0" xfId="0" applyNumberFormat="1" applyFont="1" applyFill="1" applyBorder="1"/>
    <x:xf numFmtId="0" fontId="6" fillId="5" borderId="0" xfId="0" applyNumberFormat="1" applyFont="1" applyFill="1" applyBorder="1" applyAlignment="1">
      <x:alignment wrapText="1"/>
    </x:xf>
    <x:xf numFmtId="0" fontId="7" fillId="0" borderId="0" xfId="0" applyNumberFormat="1" applyFont="1" applyFill="1" applyBorder="1"/>
    <x:xf numFmtId="0" fontId="7" fillId="4" borderId="0" xfId="0" applyNumberFormat="1" applyFont="1" applyFill="1" applyBorder="1"/>
    <x:xf numFmtId="202" fontId="7" fillId="0" borderId="0" xfId="0" applyNumberFormat="1" applyFont="1" applyFill="1" applyBorder="1"/>
    <x:xf numFmtId="0" fontId="3" fillId="4" borderId="0" xfId="0" applyNumberFormat="1" applyFont="1" applyFill="1" applyBorder="1" applyAlignment="1">
      <x:alignment wrapText="1"/>
    </x:xf>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3" xfId="0" applyNumberFormat="1" applyFont="1" applyFill="1" applyBorder="1" applyAlignment="1">
      <x:alignment vertical="center"/>
    </x:xf>
    <x:xf numFmtId="0" fontId="0" fillId="0" borderId="4" xfId="0" applyNumberFormat="1" applyFont="1" applyFill="1" applyBorder="1" applyAlignment="1">
      <x:alignment vertical="center"/>
    </x:xf>
    <x:xf numFmtId="0" fontId="0" fillId="0" borderId="5" xfId="0" applyNumberFormat="1" applyFont="1" applyFill="1" applyBorder="1" applyAlignment="1">
      <x:alignment vertical="center"/>
    </x:xf>
    <x:xf numFmtId="0" fontId="7" fillId="0" borderId="3" xfId="0" applyNumberFormat="1" applyFont="1" applyFill="1" applyBorder="1" applyAlignment="1">
      <x:alignment vertical="center"/>
    </x:xf>
    <x:xf numFmtId="0" fontId="7" fillId="0" borderId="4" xfId="0" applyNumberFormat="1" applyFont="1" applyFill="1" applyBorder="1" applyAlignment="1">
      <x:alignment vertical="center"/>
    </x:xf>
    <x:xf numFmtId="0" fontId="7" fillId="0" borderId="5" xfId="0" applyNumberFormat="1" applyFont="1" applyFill="1" applyBorder="1" applyAlignment="1">
      <x:alignment vertical="center"/>
    </x:xf>
    <x:xf numFmtId="200" fontId="7" fillId="0" borderId="3" xfId="0" applyNumberFormat="1" applyFont="1" applyFill="1" applyBorder="1" applyAlignment="1">
      <x:alignment vertical="center"/>
    </x:xf>
    <x:xf numFmtId="201" fontId="7" fillId="0" borderId="4" xfId="0" applyNumberFormat="1" applyFont="1" applyFill="1" applyBorder="1" applyAlignment="1">
      <x:alignment vertical="center"/>
    </x:xf>
    <x:xf numFmtId="203" fontId="7" fillId="0" borderId="4" xfId="0" applyNumberFormat="1" applyFont="1" applyFill="1" applyBorder="1" applyAlignment="1">
      <x:alignment vertical="center"/>
    </x:xf>
    <x:xf numFmtId="205" fontId="7" fillId="0" borderId="5" xfId="0" applyNumberFormat="1" applyFont="1" applyFill="1" applyBorder="1" applyAlignment="1">
      <x:alignment vertical="center"/>
    </x:xf>
    <x:xf numFmtId="0" fontId="0" fillId="6" borderId="0" xfId="0" applyNumberFormat="1" applyFont="1" applyFill="1" applyBorder="1"/>
    <x:xf numFmtId="0" fontId="8" fillId="6" borderId="0" xfId="0" applyNumberFormat="1" applyFont="1" applyFill="1" applyBorder="1"/>
    <x:xf numFmtId="0" fontId="8" fillId="6" borderId="0" xfId="0" applyNumberFormat="1" applyFont="1" applyFill="1" applyBorder="1" applyAlignment="1">
      <x:alignment horizontal="center"/>
    </x:xf>
    <x:xf numFmtId="0" fontId="0" fillId="0" borderId="3" xfId="0" applyNumberFormat="1" applyFont="1" applyFill="1" applyBorder="1" applyAlignment="1">
      <x:alignment wrapText="1"/>
    </x:xf>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5" borderId="0" xfId="0" applyNumberFormat="1" applyFont="1" applyFill="1" applyBorder="1" applyAlignment="1">
      <x:alignment wrapText="1"/>
    </x:xf>
    <x:xf numFmtId="0" fontId="9" fillId="0" borderId="3" xfId="0" applyNumberFormat="1" applyFont="1" applyFill="1" applyBorder="1"/>
    <x:xf numFmtId="0" fontId="9" fillId="0" borderId="4" xfId="0" applyNumberFormat="1" applyFont="1" applyFill="1" applyBorder="1"/>
    <x:xf numFmtId="0" fontId="9" fillId="0" borderId="5" xfId="0" applyNumberFormat="1" applyFont="1" applyFill="1" applyBorder="1"/>
    <x:xf numFmtId="200" fontId="9" fillId="0" borderId="3" xfId="0" applyNumberFormat="1" applyFont="1" applyFill="1" applyBorder="1"/>
    <x:xf numFmtId="201" fontId="9" fillId="0" borderId="4" xfId="0" applyNumberFormat="1" applyFont="1" applyFill="1" applyBorder="1"/>
    <x:xf numFmtId="202" fontId="9" fillId="0" borderId="4" xfId="0" applyNumberFormat="1" applyFont="1" applyFill="1" applyBorder="1"/>
    <x:xf numFmtId="202" fontId="9" fillId="0" borderId="5" xfId="0" applyNumberFormat="1" applyFont="1" applyFill="1" applyBorder="1"/>
    <x:xf numFmtId="0" fontId="0" fillId="7" borderId="0" xfId="0" applyNumberFormat="1" applyFont="1" applyFill="1" applyBorder="1"/>
    <x:xf numFmtId="0" fontId="3" fillId="7" borderId="0" xfId="0" applyNumberFormat="1" applyFont="1" applyFill="1" applyBorder="1"/>
    <x:xf numFmtId="0" fontId="0" fillId="5" borderId="0" xfId="0" applyNumberFormat="1" applyFont="1" applyFill="1" applyBorder="1" applyAlignment="1">
      <x:alignment vertical="top" wrapText="1"/>
    </x:xf>
    <x:xf numFmtId="201" fontId="7" fillId="0" borderId="0" xfId="0" applyNumberFormat="1" applyFont="1" applyFill="1" applyBorder="1"/>
    <x:xf numFmtId="0" fontId="10" fillId="2" borderId="0" xfId="0" applyNumberFormat="1" applyFont="1" applyFill="1" applyBorder="1" applyAlignment="1">
      <x:alignment vertical="center"/>
    </x:xf>
    <x:xf numFmtId="0" fontId="11" fillId="3" borderId="0" xfId="0" applyNumberFormat="1" applyFont="1" applyFill="1" applyBorder="1" applyAlignment="1">
      <x:alignment vertical="center" wrapText="1"/>
    </x:xf>
    <x:xf numFmtId="0" fontId="12" fillId="0" borderId="0" xfId="0" applyNumberFormat="1" applyFont="1" applyFill="1" applyBorder="1"/>
    <x:xf numFmtId="0" fontId="13" fillId="2" borderId="0" xfId="0" applyNumberFormat="1" applyFont="1" applyFill="1" applyBorder="1" applyAlignment="1">
      <x:alignment vertical="center"/>
    </x:xf>
    <x:xf numFmtId="0" fontId="12" fillId="0" borderId="3" xfId="0" applyNumberFormat="1" applyFont="1" applyFill="1" applyBorder="1"/>
    <x:xf numFmtId="200" fontId="14" fillId="0" borderId="3" xfId="0" applyNumberFormat="1" applyFont="1" applyFill="1" applyBorder="1"/>
    <x:xf numFmtId="0" fontId="13" fillId="7" borderId="0" xfId="0" applyNumberFormat="1" applyFont="1" applyFill="1" applyBorder="1"/>
    <x:xf numFmtId="0" fontId="12" fillId="0" borderId="4" xfId="0" applyNumberFormat="1" applyFont="1" applyFill="1" applyBorder="1"/>
    <x:xf numFmtId="201" fontId="14" fillId="0" borderId="4" xfId="0" applyNumberFormat="1" applyFont="1" applyFill="1" applyBorder="1"/>
    <x:xf numFmtId="0" fontId="12" fillId="5" borderId="0" xfId="0" applyNumberFormat="1" applyFont="1" applyFill="1" applyBorder="1" applyAlignment="1">
      <x:alignment vertical="top" wrapText="1"/>
    </x:xf>
    <x:xf numFmtId="202" fontId="14" fillId="0" borderId="4" xfId="0" applyNumberFormat="1" applyFont="1" applyFill="1" applyBorder="1"/>
    <x:xf numFmtId="0" fontId="12" fillId="0" borderId="5" xfId="0" applyNumberFormat="1" applyFont="1" applyFill="1" applyBorder="1"/>
    <x:xf numFmtId="202" fontId="14" fillId="0" borderId="5" xfId="0" applyNumberFormat="1" applyFont="1" applyFill="1" applyBorder="1"/>
    <x:xf numFmtId="0" fontId="13" fillId="4" borderId="0" xfId="0" applyNumberFormat="1" applyFont="1" applyFill="1" applyBorder="1"/>
    <x:xf numFmtId="201" fontId="15" fillId="0" borderId="0" xfId="0" applyNumberFormat="1" applyFont="1" applyFill="1" applyBorder="1"/>
    <x:xf numFmtId="202" fontId="15" fillId="0" borderId="0" xfId="0" applyNumberFormat="1" applyFont="1" applyFill="1" applyBorder="1"/>
    <x:xf numFmtId="0" fontId="13" fillId="4" borderId="1" xfId="0" applyNumberFormat="1" applyFont="1" applyFill="1" applyBorder="1" applyAlignment="1">
      <x:alignment horizontal="center" vertical="center" wrapText="1"/>
    </x:xf>
    <x:xf numFmtId="0" fontId="13" fillId="4" borderId="2" xfId="0" applyNumberFormat="1" applyFont="1" applyFill="1" applyBorder="1" applyAlignment="1">
      <x:alignment horizontal="center" vertical="center" wrapText="1"/>
    </x:xf>
    <x:xf numFmtId="0" fontId="13" fillId="4" borderId="6" xfId="0" applyNumberFormat="1" applyFont="1" applyFill="1" applyBorder="1" applyAlignment="1">
      <x:alignment horizontal="center" vertical="center" wrapText="1"/>
    </x:xf>
    <x:xf numFmtId="0" fontId="16" fillId="0" borderId="3" xfId="0" applyNumberFormat="1" applyFont="1" applyFill="1" applyBorder="1" applyAlignment="1">
      <x:alignment vertical="center"/>
    </x:xf>
    <x:xf numFmtId="200" fontId="16" fillId="0" borderId="3" xfId="0" applyNumberFormat="1" applyFont="1" applyFill="1" applyBorder="1" applyAlignment="1">
      <x:alignment vertical="center"/>
    </x:xf>
    <x:xf numFmtId="201" fontId="16" fillId="0" borderId="3" xfId="0" applyNumberFormat="1" applyFont="1" applyFill="1" applyBorder="1" applyAlignment="1">
      <x:alignment vertical="center"/>
    </x:xf>
    <x:xf numFmtId="202" fontId="16" fillId="0" borderId="3" xfId="0" applyNumberFormat="1" applyFont="1" applyFill="1" applyBorder="1" applyAlignment="1">
      <x:alignment vertical="center"/>
    </x:xf>
    <x:xf numFmtId="203" fontId="16" fillId="0" borderId="3" xfId="0" applyNumberFormat="1" applyFont="1" applyFill="1" applyBorder="1" applyAlignment="1">
      <x:alignment vertical="center"/>
    </x:xf>
    <x:xf numFmtId="0" fontId="16" fillId="0" borderId="4" xfId="0" applyNumberFormat="1" applyFont="1" applyFill="1" applyBorder="1" applyAlignment="1">
      <x:alignment vertical="center"/>
    </x:xf>
    <x:xf numFmtId="200" fontId="16" fillId="0" borderId="4" xfId="0" applyNumberFormat="1" applyFont="1" applyFill="1" applyBorder="1" applyAlignment="1">
      <x:alignment vertical="center"/>
    </x:xf>
    <x:xf numFmtId="201" fontId="16" fillId="0" borderId="4" xfId="0" applyNumberFormat="1" applyFont="1" applyFill="1" applyBorder="1" applyAlignment="1">
      <x:alignment vertical="center"/>
    </x:xf>
    <x:xf numFmtId="202" fontId="16" fillId="0" borderId="4" xfId="0" applyNumberFormat="1" applyFont="1" applyFill="1" applyBorder="1" applyAlignment="1">
      <x:alignment vertical="center"/>
    </x:xf>
    <x:xf numFmtId="203" fontId="16" fillId="0" borderId="4" xfId="0" applyNumberFormat="1" applyFont="1" applyFill="1" applyBorder="1" applyAlignment="1">
      <x:alignment vertical="center"/>
    </x:xf>
    <x:xf numFmtId="0" fontId="16" fillId="0" borderId="5" xfId="0" applyNumberFormat="1" applyFont="1" applyFill="1" applyBorder="1" applyAlignment="1">
      <x:alignment vertical="center"/>
    </x:xf>
    <x:xf numFmtId="202" fontId="16" fillId="0" borderId="5" xfId="0" applyNumberFormat="1" applyFont="1" applyFill="1" applyBorder="1" applyAlignment="1">
      <x:alignment vertical="center"/>
    </x:xf>
    <x:xf numFmtId="201" fontId="16" fillId="0" borderId="5" xfId="0" applyNumberFormat="1" applyFont="1" applyFill="1" applyBorder="1" applyAlignment="1">
      <x:alignment vertical="center"/>
    </x:xf>
    <x:xf numFmtId="200" fontId="16" fillId="0" borderId="5" xfId="0" applyNumberFormat="1" applyFont="1" applyFill="1" applyBorder="1" applyAlignment="1">
      <x:alignment vertical="center"/>
    </x:xf>
    <x:xf numFmtId="203" fontId="16" fillId="0" borderId="5" xfId="0" applyNumberFormat="1" applyFont="1" applyFill="1" applyBorder="1" applyAlignment="1">
      <x:alignment vertical="center"/>
    </x:xf>
    <x:xf numFmtId="201" fontId="12" fillId="0" borderId="0" xfId="0" applyNumberFormat="1" applyFont="1" applyFill="1" applyBorder="1"/>
    <x:xf numFmtId="200" fontId="12" fillId="0" borderId="0" xfId="0" applyNumberFormat="1" applyFont="1" applyFill="1" applyBorder="1"/>
    <x:xf numFmtId="202" fontId="12" fillId="0" borderId="0" xfId="0" applyNumberFormat="1" applyFont="1" applyFill="1" applyBorder="1"/>
    <x:xf numFmtId="203" fontId="12" fillId="0" borderId="0" xfId="0" applyNumberFormat="1" applyFont="1" applyFill="1" applyBorder="1"/>
    <x:xf numFmtId="0" fontId="17" fillId="0" borderId="7" xfId="0" applyNumberFormat="1" applyFont="1" applyFill="1" applyBorder="1"/>
    <x:xf numFmtId="201" fontId="17" fillId="0" borderId="7" xfId="0" applyNumberFormat="1" applyFont="1" applyFill="1" applyBorder="1"/>
    <x:xf numFmtId="204" fontId="16" fillId="0" borderId="3" xfId="0" applyNumberFormat="1" applyFont="1" applyFill="1" applyBorder="1" applyAlignment="1">
      <x:alignment vertical="center"/>
    </x:xf>
    <x:xf numFmtId="204" fontId="16" fillId="0" borderId="4" xfId="0" applyNumberFormat="1" applyFont="1" applyFill="1" applyBorder="1" applyAlignment="1">
      <x:alignment vertical="center"/>
    </x:xf>
    <x:xf numFmtId="204" fontId="16" fillId="0" borderId="5" xfId="0" applyNumberFormat="1" applyFont="1" applyFill="1" applyBorder="1" applyAlignment="1">
      <x:alignment vertical="center"/>
    </x:xf>
    <x:xf numFmtId="0" fontId="16" fillId="0" borderId="3" xfId="0" applyNumberFormat="1" applyFont="1" applyFill="1" applyBorder="1" applyAlignment="1">
      <x:alignment vertical="center"/>
      <x:extLst>
        <x:ext uri="{C7286773-470A-42A8-94C5-96B5CB345126}">
          <xfpb:xfComplement xmlns:xfpb="http://schemas.microsoft.com/office/spreadsheetml/2022/featurepropertybag" i="0"/>
        </x:ext>
      </x:extLst>
    </x:xf>
    <x:xf numFmtId="0" fontId="16" fillId="0" borderId="4" xfId="0" applyNumberFormat="1" applyFont="1" applyFill="1" applyBorder="1" applyAlignment="1">
      <x:alignment vertical="center"/>
      <x:extLst>
        <x:ext uri="{C7286773-470A-42A8-94C5-96B5CB345126}">
          <xfpb:xfComplement xmlns:xfpb="http://schemas.microsoft.com/office/spreadsheetml/2022/featurepropertybag" i="0"/>
        </x:ext>
      </x:extLst>
    </x:xf>
    <x:xf numFmtId="0" fontId="16" fillId="0" borderId="5" xfId="0" applyNumberFormat="1" applyFont="1" applyFill="1" applyBorder="1" applyAlignment="1">
      <x:alignment vertical="center"/>
      <x:extLst>
        <x:ext uri="{C7286773-470A-42A8-94C5-96B5CB345126}">
          <xfpb:xfComplement xmlns:xfpb="http://schemas.microsoft.com/office/spreadsheetml/2022/featurepropertybag" i="0"/>
        </x:ext>
      </x:extLst>
    </x:xf>
    <x:xf numFmtId="202" fontId="13" fillId="4" borderId="2" xfId="0" applyNumberFormat="1" applyFont="1" applyFill="1" applyBorder="1" applyAlignment="1">
      <x:alignment horizontal="center" vertical="center" wrapText="1"/>
    </x:xf>
    <x:xf numFmtId="0" fontId="17" fillId="5" borderId="0" xfId="0" applyNumberFormat="1" applyFont="1" applyFill="1" applyBorder="1"/>
    <x:xf numFmtId="201" fontId="17" fillId="5" borderId="0" xfId="0" applyNumberFormat="1" applyFont="1" applyFill="1" applyBorder="1"/>
    <x:xf numFmtId="0" fontId="18" fillId="5" borderId="0" xfId="0" applyNumberFormat="1" applyFont="1" applyFill="1" applyBorder="1" applyAlignment="1">
      <x:alignment wrapText="1"/>
    </x:xf>
    <x:xf numFmtId="0" fontId="15" fillId="0" borderId="0" xfId="0" applyNumberFormat="1" applyFont="1" applyFill="1" applyBorder="1"/>
    <x:xf numFmtId="0" fontId="13" fillId="4" borderId="0" xfId="0" applyNumberFormat="1" applyFont="1" applyFill="1" applyBorder="1" applyAlignment="1">
      <x:alignment wrapText="1"/>
    </x:xf>
    <x:xf numFmtId="0" fontId="12" fillId="0" borderId="3" xfId="0" applyNumberFormat="1" applyFont="1" applyFill="1" applyBorder="1" applyAlignment="1">
      <x:alignment vertical="center"/>
    </x:xf>
    <x:xf numFmtId="200" fontId="15" fillId="0" borderId="3" xfId="0" applyNumberFormat="1" applyFont="1" applyFill="1" applyBorder="1" applyAlignment="1">
      <x:alignment vertical="center"/>
    </x:xf>
    <x:xf numFmtId="0" fontId="15" fillId="0" borderId="3" xfId="0" applyNumberFormat="1" applyFont="1" applyFill="1" applyBorder="1" applyAlignment="1">
      <x:alignment vertical="center"/>
    </x:xf>
    <x:xf numFmtId="0" fontId="12" fillId="0" borderId="4" xfId="0" applyNumberFormat="1" applyFont="1" applyFill="1" applyBorder="1" applyAlignment="1">
      <x:alignment vertical="center"/>
    </x:xf>
    <x:xf numFmtId="201" fontId="15" fillId="0" borderId="4" xfId="0" applyNumberFormat="1" applyFont="1" applyFill="1" applyBorder="1" applyAlignment="1">
      <x:alignment vertical="center"/>
    </x:xf>
    <x:xf numFmtId="203" fontId="15" fillId="0" borderId="4" xfId="0" applyNumberFormat="1" applyFont="1" applyFill="1" applyBorder="1" applyAlignment="1">
      <x:alignment vertical="center"/>
    </x:xf>
    <x:xf numFmtId="0" fontId="15" fillId="0" borderId="4" xfId="0" applyNumberFormat="1" applyFont="1" applyFill="1" applyBorder="1" applyAlignment="1">
      <x:alignment vertical="center"/>
    </x:xf>
    <x:xf numFmtId="0" fontId="12" fillId="0" borderId="5" xfId="0" applyNumberFormat="1" applyFont="1" applyFill="1" applyBorder="1" applyAlignment="1">
      <x:alignment vertical="center"/>
    </x:xf>
    <x:xf numFmtId="205" fontId="15" fillId="0" borderId="5" xfId="0" applyNumberFormat="1" applyFont="1" applyFill="1" applyBorder="1" applyAlignment="1">
      <x:alignment vertical="center"/>
    </x:xf>
    <x:xf numFmtId="0" fontId="15" fillId="0" borderId="5" xfId="0" applyNumberFormat="1" applyFont="1" applyFill="1" applyBorder="1" applyAlignment="1">
      <x:alignment vertical="center"/>
    </x:xf>
    <x:xf numFmtId="0" fontId="19" fillId="6" borderId="0" xfId="0" applyNumberFormat="1" applyFont="1" applyFill="1" applyBorder="1" applyAlignment="1">
      <x:alignment horizontal="center"/>
    </x:xf>
    <x:xf numFmtId="0" fontId="12" fillId="0" borderId="3" xfId="0" applyNumberFormat="1" applyFont="1" applyFill="1" applyBorder="1" applyAlignment="1">
      <x:alignment vertical="top" wrapText="1"/>
    </x:xf>
    <x:xf numFmtId="0" fontId="12" fillId="0" borderId="4" xfId="0" applyNumberFormat="1" applyFont="1" applyFill="1" applyBorder="1" applyAlignment="1">
      <x:alignment vertical="top" wrapText="1"/>
    </x:xf>
    <x:xf numFmtId="0" fontId="12" fillId="0" borderId="5" xfId="0" applyNumberFormat="1" applyFont="1" applyFill="1" applyBorder="1" applyAlignment="1">
      <x:alignment vertical="top" wrapText="1"/>
    </x:xf>
    <x:xf numFmtId="0" fontId="12" fillId="5" borderId="0" xfId="0" applyNumberFormat="1" applyFont="1" applyFill="1" applyBorder="1" applyAlignment="1">
      <x:alignment wrapText="1"/>
    </x:xf>
    <x:xf numFmtId="206" fontId="12" fillId="0" borderId="0" xfId="0" applyNumberFormat="1" applyFont="1" applyFill="1" applyBorder="1"/>
    <x:xf numFmtId="0" fontId="12" fillId="8" borderId="0" xfId="0" applyNumberFormat="1" applyFont="1" applyFill="1" applyBorder="1"/>
    <x:xf numFmtId="0" fontId="13" fillId="8" borderId="0" xfId="0" applyNumberFormat="1" applyFont="1" applyFill="1" applyBorder="1"/>
    <x:xf numFmtId="0" fontId="12" fillId="0" borderId="0" xfId="0" applyNumberFormat="1" applyFont="1" applyFill="1" applyBorder="1" applyAlignment="1">
      <x:alignment wrapText="1"/>
    </x:xf>
    <x:xf numFmtId="0" fontId="13" fillId="2" borderId="0" xfId="0" applyNumberFormat="1" applyFont="1" applyFill="1" applyBorder="1" applyAlignment="1">
      <x:alignment vertical="center" wrapText="1"/>
    </x:xf>
    <x:xf numFmtId="0" fontId="13" fillId="9" borderId="0" xfId="0" applyNumberFormat="1" applyFont="1" applyFill="1" applyBorder="1" applyAlignment="1">
      <x:alignment vertical="center" wrapText="1"/>
    </x:xf>
    <x:xf numFmtId="0" fontId="12" fillId="9" borderId="0" xfId="0" applyNumberFormat="1" applyFont="1" applyFill="1" applyBorder="1" applyAlignment="1">
      <x:alignment wrapText="1"/>
    </x:xf>
    <x:xf numFmtId="0" fontId="20" fillId="9" borderId="0" xfId="0" applyNumberFormat="1" applyFont="1" applyFill="1" applyBorder="1" applyAlignment="1">
      <x:alignment vertical="center" wrapText="1"/>
    </x:xf>
    <x:xf numFmtId="0" fontId="21" fillId="9" borderId="0" xfId="0" applyNumberFormat="1" applyFont="1" applyFill="1" applyBorder="1" applyAlignment="1">
      <x:alignment wrapText="1"/>
    </x:xf>
    <x:xf numFmtId="0" fontId="12" fillId="10" borderId="0" xfId="0" applyNumberFormat="1" applyFont="1" applyFill="1" applyBorder="1" applyAlignment="1">
      <x:alignment wrapText="1"/>
    </x:xf>
    <x:xf numFmtId="0" fontId="13" fillId="10" borderId="0" xfId="0" applyNumberFormat="1" applyFont="1" applyFill="1" applyBorder="1" applyAlignment="1">
      <x:alignment wrapText="1"/>
    </x:xf>
    <x:xf numFmtId="0" fontId="0" fillId="0" borderId="0" xfId="0" applyNumberFormat="1" applyFont="1" applyFill="1" applyBorder="1" applyAlignment="1">
      <x:alignment wrapText="1"/>
    </x:xf>
  </x:cellXfs>
  <x:cellStyles count="1">
    <x:cellStyle name="Normal" xfId="0"/>
  </x:cellStyles>
  <x:dxfs count="4">
    <x:dxf>
      <x:font>
        <x:b/>
        <x:color rgb="FFC0392B"/>
      </x:font>
      <x:fill>
        <x:patternFill>
          <x:bgColor rgb="FFFADBD8"/>
        </x:patternFill>
      </x:fill>
    </x:dxf>
    <x:dxf>
      <x:font>
        <x:b/>
        <x:color rgb="FF1E8449"/>
      </x:font>
      <x:fill>
        <x:patternFill>
          <x:bgColor rgb="FFD5F5E3"/>
        </x:patternFill>
      </x:fill>
    </x:dxf>
    <x:dxf>
      <x:font>
        <x:b/>
        <x:color rgb="FF1E8449"/>
      </x:font>
      <x:fill>
        <x:patternFill>
          <x:bgColor rgb="FFD5F5E3"/>
        </x:patternFill>
      </x:fill>
    </x:dxf>
    <x:dxf>
      <x:font>
        <x:b/>
        <x:color rgb="FFC0392B"/>
      </x:font>
      <x:fill>
        <x:patternFill>
          <x:bgColor rgb="FFFADBD8"/>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77992f3672d4233" /><Relationship Type="http://schemas.openxmlformats.org/officeDocument/2006/relationships/theme" Target="/xl/theme/theme1.xml" Id="R627ae80ced154b20" /><Relationship Type="http://schemas.microsoft.com/office/2022/11/relationships/FeaturePropertyBag" Target="/xl/featurePropertyBag/featurePropertyBag.xml" Id="Raaa1052a6d894363" /><Relationship Type="http://schemas.openxmlformats.org/officeDocument/2006/relationships/sharedStrings" Target="/xl/sharedStrings.xml" Id="R65a0817485c044fa" /><Relationship Type="http://schemas.openxmlformats.org/officeDocument/2006/relationships/worksheet" Target="/xl/worksheets/sheet1.xml" Id="R3026e59171dc4de5" /><Relationship Type="http://schemas.openxmlformats.org/officeDocument/2006/relationships/worksheet" Target="/xl/worksheets/sheet2.xml" Id="R5f984c9416c14383" /><Relationship Type="http://schemas.openxmlformats.org/officeDocument/2006/relationships/worksheet" Target="/xl/worksheets/sheet3.xml" Id="R3e09b7e527d34a9c" /><Relationship Type="http://schemas.openxmlformats.org/officeDocument/2006/relationships/worksheet" Target="/xl/worksheets/sheet4.xml" Id="R95500ed8de7b4f0e" /><Relationship Type="http://schemas.openxmlformats.org/officeDocument/2006/relationships/worksheet" Target="/xl/worksheets/sheet5.xml" Id="R2ae4f0afefd84f14" /><Relationship Type="http://schemas.openxmlformats.org/officeDocument/2006/relationships/worksheet" Target="/xl/worksheets/sheet6.xml" Id="R159901475cf94171" /><Relationship Type="http://schemas.openxmlformats.org/officeDocument/2006/relationships/worksheet" Target="/xl/worksheets/sheet7.xml" Id="Rfcaaf4e595f64a63" /><Relationship Type="http://schemas.openxmlformats.org/officeDocument/2006/relationships/worksheet" Target="/xl/worksheets/sheet8.xml" Id="R267a9dcd9d9f40d0" /><Relationship Type="http://schemas.openxmlformats.org/officeDocument/2006/relationships/worksheet" Target="/xl/worksheets/sheet9.xml" Id="R8a30817c2e7949dd" /><Relationship Type="http://schemas.openxmlformats.org/officeDocument/2006/relationships/worksheet" Target="/xl/worksheets/sheet10.xml" Id="Rfbc7bb5b02ea4f22" /><Relationship Type="http://schemas.openxmlformats.org/officeDocument/2006/relationships/worksheet" Target="/xl/worksheets/sheet11.xml" Id="R9db7f455a9814ec9" /><Relationship Type="http://schemas.microsoft.com/office/2017/10/relationships/person" Target="/xl/persons/person.xml" Id="Rdb0244550f45423b" /></Relationships>
</file>

<file path=xl/drawings/_rels/drawing1.xml.rels>&#65279;<?xml version="1.0" encoding="utf-8"?><Relationships xmlns="http://schemas.openxmlformats.org/package/2006/relationships"><Relationship Type="http://schemas.openxmlformats.org/officeDocument/2006/relationships/chart" Target="/xl/drawings/charts/chart1.xml" Id="Rfc2c8e125ed44c57" /><Relationship Type="http://schemas.openxmlformats.org/officeDocument/2006/relationships/chart" Target="/xl/drawings/charts/chart2.xml" Id="Rd8f5c5d8cf844870" /></Relationships>
</file>

<file path=xl/drawings/_rels/drawing2.xml.rels>&#65279;<?xml version="1.0" encoding="utf-8"?><Relationships xmlns="http://schemas.openxmlformats.org/package/2006/relationships"><Relationship Type="http://schemas.openxmlformats.org/officeDocument/2006/relationships/chart" Target="/xl/drawings/charts/chart3.xml" Id="R0afdd98462264ab9" /></Relationships>
</file>

<file path=xl/drawings/_rels/drawing3.xml.rels>&#65279;<?xml version="1.0" encoding="utf-8"?><Relationships xmlns="http://schemas.openxmlformats.org/package/2006/relationships"><Relationship Type="http://schemas.openxmlformats.org/officeDocument/2006/relationships/chart" Target="/xl/drawings/charts/chart4.xml" Id="R5d045229ada94570" /></Relationships>
</file>

<file path=xl/drawings/_rels/drawing4.xml.rels>&#65279;<?xml version="1.0" encoding="utf-8"?><Relationships xmlns="http://schemas.openxmlformats.org/package/2006/relationships"><Relationship Type="http://schemas.openxmlformats.org/officeDocument/2006/relationships/chart" Target="/xl/drawings/charts/chart5.xml" Id="R394e7a2c98354b79" /></Relationships>
</file>

<file path=xl/drawings/_rels/drawing5.xml.rels>&#65279;<?xml version="1.0" encoding="utf-8"?><Relationships xmlns="http://schemas.openxmlformats.org/package/2006/relationships"><Relationship Type="http://schemas.openxmlformats.org/officeDocument/2006/relationships/chart" Target="/xl/drawings/charts/chart6.xml" Id="Ref63cac383734f17" /></Relationships>
</file>

<file path=xl/drawings/_rels/drawing6.xml.rels>&#65279;<?xml version="1.0" encoding="utf-8"?><Relationships xmlns="http://schemas.openxmlformats.org/package/2006/relationships"><Relationship Type="http://schemas.openxmlformats.org/officeDocument/2006/relationships/chart" Target="/xl/drawings/charts/chart7.xml" Id="R813af828a8a14ec8"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Final Total RWA under stress (INR crore)</a:t>
            </a:r>
          </a:p>
        </c:rich>
      </c:tx>
      <c:overlay val="0"/>
    </c:title>
    <c:plotArea>
      <c:barChart>
        <c:barDir val="col"/>
        <c:varyColors val="0"/>
        <c:ser>
          <c:idx val="0"/>
          <c:order val="0"/>
          <c:tx>
            <c:v>Final Total RWA (INR crore)</c:v>
          </c:tx>
          <c:cat>
            <c:strRef>
              <c:f>'01_Executive_Summary'!$A$17:$A$19</c:f>
              <c:strCache>
                <c:ptCount val="0"/>
              </c:strCache>
            </c:strRef>
          </c:cat>
          <c:val>
            <c:numRef>
              <c:f>'01_Executive_Summary'!$B$17:$B$19</c:f>
              <c:numCache>
                <c:formatCode>#,##0.0;[Red](#,##0.0);-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CET1 ratio declines under stress</a:t>
            </a:r>
          </a:p>
        </c:rich>
      </c:tx>
      <c:overlay val="0"/>
    </c:title>
    <c:plotArea>
      <c:barChart>
        <c:barDir val="col"/>
        <c:varyColors val="0"/>
        <c:ser>
          <c:idx val="0"/>
          <c:order val="0"/>
          <c:tx>
            <c:v>CET1 Ratio</c:v>
          </c:tx>
          <c:cat>
            <c:strRef>
              <c:f>'01_Executive_Summary'!$A$17:$A$19</c:f>
              <c:strCache>
                <c:ptCount val="0"/>
              </c:strCache>
            </c:strRef>
          </c:cat>
          <c:val>
            <c:numRef>
              <c:f>'01_Executive_Summary'!$C$17:$C$19</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Largest sector exposures (INR crore)</a:t>
            </a:r>
          </a:p>
        </c:rich>
      </c:tx>
      <c:overlay val="0"/>
    </c:title>
    <c:plotArea>
      <c:barChart>
        <c:barDir val="col"/>
        <c:varyColors val="0"/>
        <c:ser>
          <c:idx val="0"/>
          <c:order val="0"/>
          <c:tx>
            <c:v>Ead (INR crore)</c:v>
          </c:tx>
          <c:cat>
            <c:strRef>
              <c:f>'02_Portfolio_Profile'!$D$6:$D$15</c:f>
              <c:strCache>
                <c:ptCount val="0"/>
              </c:strCache>
            </c:strRef>
          </c:cat>
          <c:val>
            <c:numRef>
              <c:f>'02_Portfolio_Profile'!$E$6:$E$15</c:f>
              <c:numCache>
                <c:formatCode>#,##0.0;[Red](#,##0.0);-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4.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Credit RWA intensity by class</a:t>
            </a:r>
          </a:p>
        </c:rich>
      </c:tx>
      <c:overlay val="0"/>
    </c:title>
    <c:plotArea>
      <c:barChart>
        <c:barDir val="col"/>
        <c:varyColors val="0"/>
        <c:ser>
          <c:idx val="0"/>
          <c:order val="0"/>
          <c:tx>
            <c:v>SA RWA / EAD</c:v>
          </c:tx>
          <c:cat>
            <c:strRef>
              <c:f>'05_SA_vs_IRB'!$H$21:$H$30</c:f>
              <c:strCache>
                <c:ptCount val="0"/>
              </c:strCache>
            </c:strRef>
          </c:cat>
          <c:val>
            <c:numRef>
              <c:f>'05_SA_vs_IRB'!$I$21:$I$30</c:f>
              <c:numCache>
                <c:formatCode>0.0%</c:formatCode>
                <c:ptCount val="0"/>
              </c:numCache>
            </c:numRef>
          </c:val>
        </c:ser>
        <c:ser>
          <c:idx val="1"/>
          <c:order val="1"/>
          <c:tx>
            <c:v>IRB RWA / EAD</c:v>
          </c:tx>
          <c:cat>
            <c:strRef>
              <c:f>'05_SA_vs_IRB'!$H$21:$H$30</c:f>
              <c:strCache>
                <c:ptCount val="0"/>
              </c:strCache>
            </c:strRef>
          </c:cat>
          <c:val>
            <c:numRef>
              <c:f>'05_SA_vs_IRB'!$J$21:$J$30</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5.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RWA movement by driver (INR crore)</a:t>
            </a:r>
          </a:p>
        </c:rich>
      </c:tx>
      <c:overlay val="0"/>
    </c:title>
    <c:plotArea>
      <c:barChart>
        <c:barDir val="col"/>
        <c:varyColors val="0"/>
        <c:ser>
          <c:idx val="0"/>
          <c:order val="0"/>
          <c:tx>
            <c:v>Series 1</c:v>
          </c:tx>
          <c:cat>
            <c:strRef>
              <c:f>'07_RWA_Bridge'!$A$6:$A$13</c:f>
              <c:strCache>
                <c:ptCount val="0"/>
              </c:strCache>
            </c:strRef>
          </c:cat>
          <c:val>
            <c:numRef>
              <c:f>'07_RWA_Bridge'!$B$6:$B$13</c:f>
              <c:numCache>
                <c:formatCode>#,##0.0;[Red](#,##0.0);-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6.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RWA rises under stress (INR crore)</a:t>
            </a:r>
          </a:p>
        </c:rich>
      </c:tx>
      <c:overlay val="0"/>
    </c:title>
    <c:plotArea>
      <c:barChart>
        <c:barDir val="col"/>
        <c:varyColors val="0"/>
        <c:ser>
          <c:idx val="0"/>
          <c:order val="0"/>
          <c:tx>
            <c:v>Final Total RWA</c:v>
          </c:tx>
          <c:cat>
            <c:strRef>
              <c:f>'08_Stress_Test'!$A$5:$A$7</c:f>
              <c:strCache>
                <c:ptCount val="0"/>
              </c:strCache>
            </c:strRef>
          </c:cat>
          <c:val>
            <c:numRef>
              <c:f>'08_Stress_Test'!$F$5:$F$7</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7.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CET1 ratio by scenario</a:t>
            </a:r>
          </a:p>
        </c:rich>
      </c:tx>
      <c:overlay val="0"/>
    </c:title>
    <c:plotArea>
      <c:barChart>
        <c:barDir val="col"/>
        <c:varyColors val="0"/>
        <c:ser>
          <c:idx val="0"/>
          <c:order val="0"/>
          <c:tx>
            <c:v>CET1 Ratio</c:v>
          </c:tx>
          <c:cat>
            <c:strRef>
              <c:f>'09_Capital_Adequacy'!$J$5:$J$7</c:f>
              <c:strCache>
                <c:ptCount val="0"/>
              </c:strCache>
            </c:strRef>
          </c:cat>
          <c:val>
            <c:numRef>
              <c:f>'09_Capital_Adequacy'!$K$5:$K$7</c:f>
              <c:numCache>
                <c:formatCode>0.0%;[Red](0.0%);-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18</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c2c8e125ed44c57"/>
        </a:graphicData>
      </a:graphic>
    </xdr:graphicFrame>
    <xdr:clientData/>
  </xdr:twoCellAnchor>
  <xdr:twoCellAnchor>
    <xdr:from>
      <xdr:col>9</xdr:col>
      <xdr:colOff>0</xdr:colOff>
      <xdr:row>16</xdr:row>
      <xdr:rowOff>0</xdr:rowOff>
    </xdr:from>
    <xdr:to>
      <xdr:col>18</xdr:col>
      <xdr:colOff>0</xdr:colOff>
      <xdr:row>29</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8f5c5d8cf844870"/>
        </a:graphicData>
      </a:graphic>
    </xdr:graphicFrame>
    <xdr:clientData/>
  </xdr:twoCellAnchor>
</xdr:wsDr>
</file>

<file path=xl/drawings/drawing2.xml><?xml version="1.0" encoding="utf-8"?>
<xdr:wsDr xmlns:xdr="http://schemas.openxmlformats.org/drawingml/2006/spreadsheetDrawing">
  <xdr:twoCellAnchor>
    <xdr:from>
      <xdr:col>13</xdr:col>
      <xdr:colOff>0</xdr:colOff>
      <xdr:row>3</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afdd98462264ab9"/>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3</xdr:row>
      <xdr:rowOff>0</xdr:rowOff>
    </xdr:from>
    <xdr:to>
      <xdr:col>15</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d045229ada94570"/>
        </a:graphicData>
      </a:graphic>
    </xdr:graphicFrame>
    <xdr:clientData/>
  </xdr:twoCellAnchor>
</xdr:wsDr>
</file>

<file path=xl/drawings/drawing4.xml><?xml version="1.0" encoding="utf-8"?>
<xdr:wsDr xmlns:xdr="http://schemas.openxmlformats.org/drawingml/2006/spreadsheetDrawing">
  <xdr:twoCellAnchor>
    <xdr:from>
      <xdr:col>4</xdr:col>
      <xdr:colOff>0</xdr:colOff>
      <xdr:row>3</xdr:row>
      <xdr:rowOff>0</xdr:rowOff>
    </xdr:from>
    <xdr:to>
      <xdr:col>13</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94e7a2c98354b79"/>
        </a:graphicData>
      </a:graphic>
    </xdr:graphicFrame>
    <xdr:clientData/>
  </xdr:twoCellAnchor>
</xdr:wsDr>
</file>

<file path=xl/drawings/drawing5.xml><?xml version="1.0" encoding="utf-8"?>
<xdr:wsDr xmlns:xdr="http://schemas.openxmlformats.org/drawingml/2006/spreadsheetDrawing">
  <xdr:twoCellAnchor>
    <xdr:from>
      <xdr:col>9</xdr:col>
      <xdr:colOff>0</xdr:colOff>
      <xdr:row>3</xdr:row>
      <xdr:rowOff>0</xdr:rowOff>
    </xdr:from>
    <xdr:to>
      <xdr:col>18</xdr:col>
      <xdr:colOff>0</xdr:colOff>
      <xdr:row>19</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f63cac383734f17"/>
        </a:graphicData>
      </a:graphic>
    </xdr:graphicFrame>
    <xdr:clientData/>
  </xdr:twoCellAnchor>
</xdr:wsDr>
</file>

<file path=xl/drawings/drawing6.xml><?xml version="1.0" encoding="utf-8"?>
<xdr:wsDr xmlns:xdr="http://schemas.openxmlformats.org/drawingml/2006/spreadsheetDrawing">
  <xdr:twoCellAnchor>
    <xdr:from>
      <xdr:col>9</xdr:col>
      <xdr:colOff>0</xdr:colOff>
      <xdr:row>8</xdr:row>
      <xdr:rowOff>0</xdr:rowOff>
    </xdr:from>
    <xdr:to>
      <xdr:col>18</xdr:col>
      <xdr:colOff>0</xdr:colOff>
      <xdr:row>23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13af828a8a14ec8"/>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persons/person.xml><?xml version="1.0" encoding="utf-8"?>
<xltc:personList xmlns:xltc="http://schemas.microsoft.com/office/spreadsheetml/2018/threadedcomments">
  <xltc:person displayName="User" id="{C1AC03FC-3D34-41C5-86F5-396E327E6CE0}"/>
</xltc:personList>
</file>

<file path=xl/tables/table1.xml><?xml version="1.0" encoding="utf-8"?>
<x:table xmlns:x="http://schemas.openxmlformats.org/spreadsheetml/2006/main" id="1" name="SectorProfile" displayName="SectorProfile" ref="D5:M16" headerRowCount="1" totalsRowCount="0" totalsRowShown="0">
  <x:tableColumns count="10">
    <x:tableColumn id="1" name="Sector"/>
    <x:tableColumn id="2" name="Ead (INR crore)"/>
    <x:tableColumn id="3" name="Sa Rwa (INR crore)"/>
    <x:tableColumn id="4" name="Irb Rwa (INR crore)"/>
    <x:tableColumn id="5" name="Exposure Count"/>
    <x:tableColumn id="6" name="Ead Share"/>
    <x:tableColumn id="7" name="Irb Rwa Share"/>
    <x:tableColumn id="8" name="Hhi Component"/>
    <x:tableColumn id="9" name="Weighted Pd"/>
    <x:tableColumn id="10" name="Weighted Lgd"/>
  </x:tableColumns>
  <x:tableStyleInfo name="TableStyleMedium2" showFirstColumn="0" showLastColumn="0" showRowStripes="1" showColumnStripes="0"/>
</x:table>
</file>

<file path=xl/tables/table2.xml><?xml version="1.0" encoding="utf-8"?>
<x:table xmlns:x="http://schemas.openxmlformats.org/spreadsheetml/2006/main" id="2" name="ProductProfile" displayName="ProductProfile" ref="A20:J28" headerRowCount="1" totalsRowCount="0" totalsRowShown="0">
  <x:tableColumns count="10">
    <x:tableColumn id="1" name="Product Type"/>
    <x:tableColumn id="2" name="Ead (INR crore)"/>
    <x:tableColumn id="3" name="Sa Rwa (INR crore)"/>
    <x:tableColumn id="4" name="Irb Rwa (INR crore)"/>
    <x:tableColumn id="5" name="Exposure Count"/>
    <x:tableColumn id="6" name="Ead Share"/>
    <x:tableColumn id="7" name="Irb Rwa Share"/>
    <x:tableColumn id="8" name="Hhi Component"/>
    <x:tableColumn id="9" name="Weighted Pd"/>
    <x:tableColumn id="10" name="Weighted Lgd"/>
  </x:tableColumns>
  <x:tableStyleInfo name="TableStyleMedium2" showFirstColumn="0" showLastColumn="0" showRowStripes="1" showColumnStripes="0"/>
</x:table>
</file>

<file path=xl/tables/table3.xml><?xml version="1.0" encoding="utf-8"?>
<x:table xmlns:x="http://schemas.openxmlformats.org/spreadsheetml/2006/main" id="3" name="SASummary" displayName="SASummary" ref="A4:E14" headerRowCount="1" totalsRowCount="0" totalsRowShown="0">
  <x:tableColumns count="5">
    <x:tableColumn id="1" name="Basel Exposure Class"/>
    <x:tableColumn id="2" name="Ead Pre Crm (INR crore)"/>
    <x:tableColumn id="3" name="Ead Post Crm (INR crore)"/>
    <x:tableColumn id="4" name="Sa Rwa (INR crore)"/>
    <x:tableColumn id="5" name="Average Risk Weight"/>
  </x:tableColumns>
  <x:tableStyleInfo name="TableStyleMedium2" showFirstColumn="0" showLastColumn="0" showRowStripes="1" showColumnStripes="0"/>
</x:table>
</file>

<file path=xl/tables/table4.xml><?xml version="1.0" encoding="utf-8"?>
<x:table xmlns:x="http://schemas.openxmlformats.org/spreadsheetml/2006/main" id="4" name="IRBSummary" displayName="IRBSummary" ref="A4:F14" headerRowCount="1" totalsRowCount="0" totalsRowShown="0">
  <x:tableColumns count="6">
    <x:tableColumn id="1" name="Basel Exposure Class"/>
    <x:tableColumn id="2" name="Ead (INR crore)"/>
    <x:tableColumn id="3" name="Weighted Pd"/>
    <x:tableColumn id="4" name="Weighted Lgd"/>
    <x:tableColumn id="5" name="Expected Loss (INR crore)"/>
    <x:tableColumn id="6" name="Irb Rwa (INR crore)"/>
  </x:tableColumns>
  <x:tableStyleInfo name="TableStyleMedium2" showFirstColumn="0" showLastColumn="0" showRowStripes="1" showColumnStripes="0"/>
</x:table>
</file>

<file path=xl/tables/table5.xml><?xml version="1.0" encoding="utf-8"?>
<x:table xmlns:x="http://schemas.openxmlformats.org/spreadsheetml/2006/main" id="5" name="ApproachComparison" displayName="ApproachComparison" ref="A4:E14" headerRowCount="1" totalsRowCount="0" totalsRowShown="0">
  <x:tableColumns count="5">
    <x:tableColumn id="1" name="Exposure Class"/>
    <x:tableColumn id="2" name="Sa Rwa (INR crore)"/>
    <x:tableColumn id="3" name="Irb Rwa (INR crore)"/>
    <x:tableColumn id="4" name="Difference (INR crore)"/>
    <x:tableColumn id="5" name="Irb To Sa"/>
  </x:tableColumns>
  <x:tableStyleInfo name="TableStyleMedium2" showFirstColumn="0" showLastColumn="0" showRowStripes="1" showColumnStripes="0"/>
</x:table>
</file>

<file path=xl/tables/table6.xml><?xml version="1.0" encoding="utf-8"?>
<x:table xmlns:x="http://schemas.openxmlformats.org/spreadsheetml/2006/main" id="6" name="OutputFloor" displayName="OutputFloor" ref="A17:D41" headerRowCount="1" totalsRowCount="0" totalsRowShown="0">
  <x:tableColumns count="4">
    <x:tableColumn id="1" name="Scenario"/>
    <x:tableColumn id="2" name="Metric"/>
    <x:tableColumn id="3" name="Value"/>
    <x:tableColumn id="4" name="Floor Binding"/>
  </x:tableColumns>
  <x:tableStyleInfo name="TableStyleMedium2" showFirstColumn="0" showLastColumn="0" showRowStripes="1" showColumnStripes="0"/>
</x:table>
</file>

<file path=xl/tables/table7.xml><?xml version="1.0" encoding="utf-8"?>
<x:table xmlns:x="http://schemas.openxmlformats.org/spreadsheetml/2006/main" id="7" name="TopBorrowers" displayName="TopBorrowers" ref="A14:G34" headerRowCount="1" totalsRowCount="0" totalsRowShown="0">
  <x:tableColumns count="7">
    <x:tableColumn id="1" name="Borrower Id"/>
    <x:tableColumn id="2" name="Connected Group Id"/>
    <x:tableColumn id="3" name="Ead (INR crore)"/>
    <x:tableColumn id="4" name="Irb Rwa (INR crore)"/>
    <x:tableColumn id="5" name="Facility Count"/>
    <x:tableColumn id="6" name="Ead Share"/>
    <x:tableColumn id="7" name="Cumulative Ead Share"/>
  </x:tableColumns>
  <x:tableStyleInfo name="TableStyleMedium2" showFirstColumn="0" showLastColumn="0" showRowStripes="1" showColumnStripes="0"/>
</x:table>
</file>

<file path=xl/tables/table8.xml><?xml version="1.0" encoding="utf-8"?>
<x:table xmlns:x="http://schemas.openxmlformats.org/spreadsheetml/2006/main" id="8" name="RWABridge" displayName="RWABridge" ref="A4:C13" headerRowCount="1" totalsRowCount="0" totalsRowShown="0">
  <x:tableColumns count="3">
    <x:tableColumn id="1" name="Driver"/>
    <x:tableColumn id="2" name="Amount (INR crore)"/>
    <x:tableColumn id="3" name="Kind"/>
  </x:tableColumns>
  <x:tableStyleInfo name="TableStyleMedium2" showFirstColumn="0" showLastColumn="0" showRowStripes="1" showColumnStripes="0"/>
</x:table>
</file>

<file path=xl/tables/table9.xml><?xml version="1.0" encoding="utf-8"?>
<x:table xmlns:x="http://schemas.openxmlformats.org/spreadsheetml/2006/main" id="9" name="ScenarioSummary" displayName="ScenarioSummary" ref="A4:H7" headerRowCount="1" totalsRowCount="0" totalsRowShown="0">
  <x:tableColumns count="8">
    <x:tableColumn id="1" name="Scenario"/>
    <x:tableColumn id="2" name="Ead (INR crore)"/>
    <x:tableColumn id="3" name="Sa Credit Rwa (INR crore)"/>
    <x:tableColumn id="4" name="Irb Credit Rwa (INR crore)"/>
    <x:tableColumn id="5" name="Expected Loss (INR crore)"/>
    <x:tableColumn id="6" name="Final Total Rwa (INR crore)"/>
    <x:tableColumn id="7" name="Floor Binding"/>
    <x:tableColumn id="8" name="Stress Loss (INR crore)"/>
  </x:tableColumns>
  <x:tableStyleInfo name="TableStyleMedium2" showFirstColumn="0" showLastColumn="0" showRowStripes="1" showColumnStripes="0"/>
</x:table>
</file>

<file path=xl/tables/table10.xml><?xml version="1.0" encoding="utf-8"?>
<x:table xmlns:x="http://schemas.openxmlformats.org/spreadsheetml/2006/main" id="10" name="SevereSectorContribution" displayName="SevereSectorContribution" ref="A12:E23" headerRowCount="1" totalsRowCount="0" totalsRowShown="0">
  <x:tableColumns count="5">
    <x:tableColumn id="1" name="Sector"/>
    <x:tableColumn id="2" name="Base Rwa (INR crore)"/>
    <x:tableColumn id="3" name="Stressed Rwa (INR crore)"/>
    <x:tableColumn id="4" name="Rwa Increase (INR crore)"/>
    <x:tableColumn id="5" name="Contribution Share"/>
  </x:tableColumns>
  <x:tableStyleInfo name="TableStyleMedium2" showFirstColumn="0" showLastColumn="0" showRowStripes="1" showColumnStripes="0"/>
</x:table>
</file>

<file path=xl/tables/table11.xml><?xml version="1.0" encoding="utf-8"?>
<x:table xmlns:x="http://schemas.openxmlformats.org/spreadsheetml/2006/main" id="11" name="CapitalAdequacy" displayName="CapitalAdequacy" ref="A4:H13" headerRowCount="1" totalsRowCount="0" totalsRowShown="0">
  <x:tableColumns count="8">
    <x:tableColumn id="1" name="Scenario"/>
    <x:tableColumn id="2" name="Capital Measure"/>
    <x:tableColumn id="3" name="Capital Amount (INR crore)"/>
    <x:tableColumn id="4" name="Total Rwa (INR crore)"/>
    <x:tableColumn id="5" name="Ratio"/>
    <x:tableColumn id="6" name="Requirement Plus Buffer"/>
    <x:tableColumn id="7" name="Headroom"/>
    <x:tableColumn id="8" name="Stress Loss (INR cror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62e27a5c3ebd458d" /></Relationships>
</file>

<file path=xl/worksheets/_rels/sheet2.xml.rels>&#65279;<?xml version="1.0" encoding="utf-8"?><Relationships xmlns="http://schemas.openxmlformats.org/package/2006/relationships"><Relationship Type="http://schemas.openxmlformats.org/officeDocument/2006/relationships/drawing" Target="/xl/drawings/drawing2.xml" Id="Rd0fd5d0e909e4c87" /><Relationship Type="http://schemas.openxmlformats.org/officeDocument/2006/relationships/table" Target="/xl/tables/table1.xml" Id="Rca1d95b8fb894ced" /><Relationship Type="http://schemas.openxmlformats.org/officeDocument/2006/relationships/table" Target="/xl/tables/table2.xml" Id="R8c2f60a9d31845e3" /></Relationships>
</file>

<file path=xl/worksheets/_rels/sheet3.xml.rels>&#65279;<?xml version="1.0" encoding="utf-8"?><Relationships xmlns="http://schemas.openxmlformats.org/package/2006/relationships"><Relationship Type="http://schemas.openxmlformats.org/officeDocument/2006/relationships/table" Target="/xl/tables/table3.xml" Id="Re71978512a644b92" /></Relationships>
</file>

<file path=xl/worksheets/_rels/sheet4.xml.rels>&#65279;<?xml version="1.0" encoding="utf-8"?><Relationships xmlns="http://schemas.openxmlformats.org/package/2006/relationships"><Relationship Type="http://schemas.openxmlformats.org/officeDocument/2006/relationships/table" Target="/xl/tables/table4.xml" Id="R69c5d6a6e5b2477a" /></Relationships>
</file>

<file path=xl/worksheets/_rels/sheet5.xml.rels>&#65279;<?xml version="1.0" encoding="utf-8"?><Relationships xmlns="http://schemas.openxmlformats.org/package/2006/relationships"><Relationship Type="http://schemas.openxmlformats.org/officeDocument/2006/relationships/drawing" Target="/xl/drawings/drawing3.xml" Id="R69242f51d65145ad" /><Relationship Type="http://schemas.openxmlformats.org/officeDocument/2006/relationships/table" Target="/xl/tables/table5.xml" Id="R80e442426fdb4a0e" /><Relationship Type="http://schemas.openxmlformats.org/officeDocument/2006/relationships/table" Target="/xl/tables/table6.xml" Id="Rdc48e1e481064dc2" /></Relationships>
</file>

<file path=xl/worksheets/_rels/sheet6.xml.rels>&#65279;<?xml version="1.0" encoding="utf-8"?><Relationships xmlns="http://schemas.openxmlformats.org/package/2006/relationships"><Relationship Type="http://schemas.openxmlformats.org/officeDocument/2006/relationships/table" Target="/xl/tables/table7.xml" Id="R9d73d91f9fd94ec1" /></Relationships>
</file>

<file path=xl/worksheets/_rels/sheet7.xml.rels>&#65279;<?xml version="1.0" encoding="utf-8"?><Relationships xmlns="http://schemas.openxmlformats.org/package/2006/relationships"><Relationship Type="http://schemas.openxmlformats.org/officeDocument/2006/relationships/drawing" Target="/xl/drawings/drawing4.xml" Id="Rd93b33d6cc3347ab" /><Relationship Type="http://schemas.openxmlformats.org/officeDocument/2006/relationships/table" Target="/xl/tables/table8.xml" Id="Raf49f137c8054845" /></Relationships>
</file>

<file path=xl/worksheets/_rels/sheet8.xml.rels>&#65279;<?xml version="1.0" encoding="utf-8"?><Relationships xmlns="http://schemas.openxmlformats.org/package/2006/relationships"><Relationship Type="http://schemas.openxmlformats.org/officeDocument/2006/relationships/drawing" Target="/xl/drawings/drawing5.xml" Id="R345fb8a974aa4ac6" /><Relationship Type="http://schemas.openxmlformats.org/officeDocument/2006/relationships/table" Target="/xl/tables/table9.xml" Id="R657415f94e034153" /><Relationship Type="http://schemas.openxmlformats.org/officeDocument/2006/relationships/table" Target="/xl/tables/table10.xml" Id="R80685f58440d470e" /></Relationships>
</file>

<file path=xl/worksheets/_rels/sheet9.xml.rels>&#65279;<?xml version="1.0" encoding="utf-8"?><Relationships xmlns="http://schemas.openxmlformats.org/package/2006/relationships"><Relationship Type="http://schemas.openxmlformats.org/officeDocument/2006/relationships/drawing" Target="/xl/drawings/drawing6.xml" Id="Rc9e30dd1ebe546b1" /><Relationship Type="http://schemas.openxmlformats.org/officeDocument/2006/relationships/table" Target="/xl/tables/table11.xml" Id="R91acf86c6f684eb5"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28"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s>
  <x:sheetData>
    <x:row r="1" ht="30" customHeight="1">
      <x:c r="A1" s="106" t="str">
        <x:v>Basel Credit Capital Engine</x:v>
      </x:c>
      <x:c r="B1" s="106"/>
      <x:c r="C1" s="106"/>
      <x:c r="D1" s="106"/>
      <x:c r="E1" s="106"/>
      <x:c r="F1" s="106"/>
      <x:c r="G1" s="106"/>
      <x:c r="H1" s="106"/>
      <x:c r="I1" s="106"/>
      <x:c r="J1" s="106"/>
      <x:c r="K1" s="106"/>
      <x:c r="L1" s="106"/>
    </x:row>
    <x:row r="2" ht="24" customHeight="1">
      <x:c r="A2" s="107" t="str">
        <x:v>Executive risk and capital summary | Synthetic educational bank | Reporting date 30 Jun 2026 | INR crore</x:v>
      </x:c>
      <x:c r="B2" s="107"/>
      <x:c r="C2" s="107"/>
      <x:c r="D2" s="107"/>
      <x:c r="E2" s="107"/>
      <x:c r="F2" s="107"/>
      <x:c r="G2" s="107"/>
      <x:c r="H2" s="107"/>
      <x:c r="I2" s="107"/>
      <x:c r="J2" s="107"/>
      <x:c r="K2" s="107"/>
      <x:c r="L2" s="107"/>
    </x:row>
    <x:row r="3">
      <x:c r="A3" s="108"/>
      <x:c r="B3" s="108"/>
      <x:c r="C3" s="108"/>
      <x:c r="D3" s="108"/>
      <x:c r="E3" s="108"/>
      <x:c r="F3" s="108"/>
      <x:c r="G3" s="108"/>
      <x:c r="H3" s="108"/>
      <x:c r="I3" s="108"/>
      <x:c r="J3" s="108"/>
      <x:c r="K3" s="108"/>
      <x:c r="L3" s="108"/>
    </x:row>
    <x:row r="4" ht="22" customHeight="1">
      <x:c r="A4" s="109" t="str">
        <x:v>Portfolio and capital indicators</x:v>
      </x:c>
      <x:c r="B4" s="109"/>
      <x:c r="C4" s="109"/>
      <x:c r="D4" s="109"/>
      <x:c r="E4" s="109"/>
      <x:c r="F4" s="109"/>
      <x:c r="G4" s="109"/>
      <x:c r="H4" s="109"/>
      <x:c r="I4" s="108"/>
      <x:c r="J4" s="108"/>
      <x:c r="K4" s="108"/>
      <x:c r="L4" s="108"/>
    </x:row>
    <x:row r="5" ht="24" customHeight="1">
      <x:c r="A5" s="110" t="str">
        <x:v>Exposure count</x:v>
      </x:c>
      <x:c r="B5" s="111" t="n">
        <x:f>'02_Portfolio_Profile'!B6</x:f>
        <x:v>30000</x:v>
      </x:c>
      <x:c r="C5" s="108"/>
      <x:c r="D5" s="112" t="str">
        <x:v>Analyst reading</x:v>
      </x:c>
      <x:c r="E5" s="112"/>
      <x:c r="F5" s="112"/>
      <x:c r="G5" s="112"/>
      <x:c r="H5" s="112"/>
      <x:c r="I5" s="108"/>
      <x:c r="J5" s="108"/>
      <x:c r="K5" s="108"/>
      <x:c r="L5" s="108"/>
    </x:row>
    <x:row r="6" ht="24" customHeight="1">
      <x:c r="A6" s="113" t="str">
        <x:v>Total EAD (INR crore)</x:v>
      </x:c>
      <x:c r="B6" s="114" t="n">
        <x:f>'02_Portfolio_Profile'!B9</x:f>
        <x:v>700735.4648341014</x:v>
      </x:c>
      <x:c r="C6" s="108"/>
      <x:c r="D6" s="115" t="str">
        <x:v>The synthetic bank begins above the configured global minimum-plus-buffer thresholds. Adverse and severe scenarios increase Credit RWA and deduct simplified stress losses from CET1, reducing capital headroom. Detailed drivers are available in the stress, bridge and concentration sheets. Results are educational and not a regulatory submission.</x:v>
      </x:c>
      <x:c r="E6" s="115"/>
      <x:c r="F6" s="115"/>
      <x:c r="G6" s="115"/>
      <x:c r="H6" s="115"/>
      <x:c r="I6" s="108"/>
      <x:c r="J6" s="108"/>
      <x:c r="K6" s="108"/>
      <x:c r="L6" s="108"/>
    </x:row>
    <x:row r="7" ht="24" customHeight="1">
      <x:c r="A7" s="113" t="str">
        <x:v>SA Credit RWA (INR crore)</x:v>
      </x:c>
      <x:c r="B7" s="114" t="n">
        <x:f>'02_Portfolio_Profile'!B10</x:f>
        <x:v>405323.35943071585</x:v>
      </x:c>
      <x:c r="C7" s="108"/>
      <x:c r="D7" s="115"/>
      <x:c r="E7" s="115"/>
      <x:c r="F7" s="115"/>
      <x:c r="G7" s="115"/>
      <x:c r="H7" s="115"/>
      <x:c r="I7" s="108"/>
      <x:c r="J7" s="108"/>
      <x:c r="K7" s="108"/>
      <x:c r="L7" s="108"/>
    </x:row>
    <x:row r="8" ht="24" customHeight="1">
      <x:c r="A8" s="113" t="str">
        <x:v>IRB Credit RWA (INR crore)</x:v>
      </x:c>
      <x:c r="B8" s="114" t="n">
        <x:f>'02_Portfolio_Profile'!B11</x:f>
        <x:v>583349.2328979744</x:v>
      </x:c>
      <x:c r="C8" s="108"/>
      <x:c r="D8" s="115"/>
      <x:c r="E8" s="115"/>
      <x:c r="F8" s="115"/>
      <x:c r="G8" s="115"/>
      <x:c r="H8" s="115"/>
      <x:c r="I8" s="108"/>
      <x:c r="J8" s="108"/>
      <x:c r="K8" s="108"/>
      <x:c r="L8" s="108"/>
    </x:row>
    <x:row r="9" ht="24" customHeight="1">
      <x:c r="A9" s="113" t="str">
        <x:v>Base Total RWA (INR crore)</x:v>
      </x:c>
      <x:c r="B9" s="114" t="n">
        <x:f>'08_Stress_Test'!F5</x:f>
        <x:v>608349.2328979744</x:v>
      </x:c>
      <x:c r="C9" s="108"/>
      <x:c r="D9" s="115"/>
      <x:c r="E9" s="115"/>
      <x:c r="F9" s="115"/>
      <x:c r="G9" s="115"/>
      <x:c r="H9" s="115"/>
      <x:c r="I9" s="108"/>
      <x:c r="J9" s="108"/>
      <x:c r="K9" s="108"/>
      <x:c r="L9" s="108"/>
    </x:row>
    <x:row r="10" ht="24" customHeight="1">
      <x:c r="A10" s="113" t="str">
        <x:v>Base CET1 ratio</x:v>
      </x:c>
      <x:c r="B10" s="116" t="n">
        <x:f>'09_Capital_Adequacy'!E5</x:f>
        <x:v>0.1068465225</x:v>
      </x:c>
      <x:c r="C10" s="108"/>
      <x:c r="D10" s="115"/>
      <x:c r="E10" s="115"/>
      <x:c r="F10" s="115"/>
      <x:c r="G10" s="115"/>
      <x:c r="H10" s="115"/>
      <x:c r="I10" s="108"/>
      <x:c r="J10" s="108"/>
      <x:c r="K10" s="108"/>
      <x:c r="L10" s="108"/>
    </x:row>
    <x:row r="11" ht="24" customHeight="1">
      <x:c r="A11" s="113" t="str">
        <x:v>Adverse CET1 ratio</x:v>
      </x:c>
      <x:c r="B11" s="116" t="n">
        <x:f>'09_Capital_Adequacy'!E8</x:f>
        <x:v>0.0705336941</x:v>
      </x:c>
      <x:c r="C11" s="108"/>
      <x:c r="D11" s="115"/>
      <x:c r="E11" s="115"/>
      <x:c r="F11" s="115"/>
      <x:c r="G11" s="115"/>
      <x:c r="H11" s="115"/>
      <x:c r="I11" s="108"/>
      <x:c r="J11" s="108"/>
      <x:c r="K11" s="108"/>
      <x:c r="L11" s="108"/>
    </x:row>
    <x:row r="12" ht="24" customHeight="1">
      <x:c r="A12" s="117" t="str">
        <x:v>Severe CET1 ratio</x:v>
      </x:c>
      <x:c r="B12" s="118" t="n">
        <x:f>'09_Capital_Adequacy'!E11</x:f>
        <x:v>0.0401329226</x:v>
      </x:c>
      <x:c r="C12" s="108"/>
      <x:c r="D12" s="115"/>
      <x:c r="E12" s="115"/>
      <x:c r="F12" s="115"/>
      <x:c r="G12" s="115"/>
      <x:c r="H12" s="115"/>
      <x:c r="I12" s="108"/>
      <x:c r="J12" s="108"/>
      <x:c r="K12" s="108"/>
      <x:c r="L12" s="108"/>
    </x:row>
    <x:row r="13">
      <x:c r="A13" s="108"/>
      <x:c r="B13" s="108"/>
      <x:c r="C13" s="108"/>
      <x:c r="D13" s="108"/>
      <x:c r="E13" s="108"/>
      <x:c r="F13" s="108"/>
      <x:c r="G13" s="108"/>
      <x:c r="H13" s="108"/>
      <x:c r="I13" s="108"/>
      <x:c r="J13" s="108"/>
      <x:c r="K13" s="108"/>
      <x:c r="L13" s="108"/>
    </x:row>
    <x:row r="14">
      <x:c r="A14" s="108"/>
      <x:c r="B14" s="108"/>
      <x:c r="C14" s="108"/>
      <x:c r="D14" s="108"/>
      <x:c r="E14" s="108"/>
      <x:c r="F14" s="108"/>
      <x:c r="G14" s="108"/>
      <x:c r="H14" s="108"/>
      <x:c r="I14" s="108"/>
      <x:c r="J14" s="108"/>
      <x:c r="K14" s="108"/>
      <x:c r="L14" s="108"/>
    </x:row>
    <x:row r="15" ht="22" customHeight="1">
      <x:c r="A15" s="109" t="str">
        <x:v>Scenario comparison</x:v>
      </x:c>
      <x:c r="B15" s="109"/>
      <x:c r="C15" s="109"/>
      <x:c r="D15" s="109"/>
      <x:c r="E15" s="109"/>
      <x:c r="F15" s="109"/>
      <x:c r="G15" s="109"/>
      <x:c r="H15" s="109"/>
      <x:c r="I15" s="108"/>
      <x:c r="J15" s="108"/>
      <x:c r="K15" s="108"/>
      <x:c r="L15" s="108"/>
    </x:row>
    <x:row r="16">
      <x:c r="A16" s="119" t="str">
        <x:v>Scenario</x:v>
      </x:c>
      <x:c r="B16" s="119" t="str">
        <x:v>Final Total RWA (INR crore)</x:v>
      </x:c>
      <x:c r="C16" s="119" t="str">
        <x:v>CET1 Ratio</x:v>
      </x:c>
      <x:c r="D16" s="108"/>
      <x:c r="E16" s="108"/>
      <x:c r="F16" s="108"/>
      <x:c r="G16" s="108"/>
      <x:c r="H16" s="108"/>
      <x:c r="I16" s="108"/>
      <x:c r="J16" s="108"/>
      <x:c r="K16" s="108"/>
      <x:c r="L16" s="108"/>
    </x:row>
    <x:row r="17">
      <x:c r="A17" s="108" t="str">
        <x:v>base</x:v>
      </x:c>
      <x:c r="B17" s="120" t="n">
        <x:f>'08_Stress_Test'!F5</x:f>
        <x:v>608349.2328979744</x:v>
      </x:c>
      <x:c r="C17" s="121" t="n">
        <x:f>'09_Capital_Adequacy'!E5</x:f>
        <x:v>0.1068465225</x:v>
      </x:c>
      <x:c r="D17" s="108"/>
      <x:c r="E17" s="108"/>
      <x:c r="F17" s="108"/>
      <x:c r="G17" s="108"/>
      <x:c r="H17" s="108"/>
      <x:c r="I17" s="108"/>
      <x:c r="J17" s="108"/>
      <x:c r="K17" s="108"/>
      <x:c r="L17" s="108"/>
    </x:row>
    <x:row r="18">
      <x:c r="A18" s="108" t="str">
        <x:v>adverse</x:v>
      </x:c>
      <x:c r="B18" s="120" t="n">
        <x:f>'08_Stress_Test'!F6</x:f>
        <x:v>794539.1397440645</x:v>
      </x:c>
      <x:c r="C18" s="121" t="n">
        <x:f>'09_Capital_Adequacy'!E8</x:f>
        <x:v>0.0705336941</x:v>
      </x:c>
      <x:c r="D18" s="108"/>
      <x:c r="E18" s="108"/>
      <x:c r="F18" s="108"/>
      <x:c r="G18" s="108"/>
      <x:c r="H18" s="108"/>
      <x:c r="I18" s="108"/>
      <x:c r="J18" s="108"/>
      <x:c r="K18" s="108"/>
      <x:c r="L18" s="108"/>
    </x:row>
    <x:row r="19">
      <x:c r="A19" s="108" t="str">
        <x:v>severe</x:v>
      </x:c>
      <x:c r="B19" s="120" t="n">
        <x:f>'08_Stress_Test'!F7</x:f>
        <x:v>1013975.0971355619</x:v>
      </x:c>
      <x:c r="C19" s="121" t="n">
        <x:f>'09_Capital_Adequacy'!E11</x:f>
        <x:v>0.0401329226</x:v>
      </x:c>
      <x:c r="D19" s="108"/>
      <x:c r="E19" s="108"/>
      <x:c r="F19" s="108"/>
      <x:c r="G19" s="108"/>
      <x:c r="H19" s="108"/>
      <x:c r="I19" s="108"/>
      <x:c r="J19" s="108"/>
      <x:c r="K19" s="108"/>
      <x:c r="L19" s="108"/>
    </x:row>
  </x:sheetData>
  <x:mergeCells>
    <x:mergeCell ref="A1:L1"/>
    <x:mergeCell ref="A2:L2"/>
    <x:mergeCell ref="A4:H4"/>
    <x:mergeCell ref="D5:H5"/>
    <x:mergeCell ref="D6:H12"/>
    <x:mergeCell ref="A15:H15"/>
  </x:mergeCells>
  <x:pageMargins left="0.7" right="0.7" top="0.75" bottom="0.75" header="0.3" footer="0.3"/>
  <x:drawing xmlns:r="http://schemas.openxmlformats.org/officeDocument/2006/relationships" r:id="R62e27a5c3ebd458d"/>
</x:worksheet>
</file>

<file path=xl/worksheets/sheet2.xml><?xml version="1.0" encoding="utf-8"?>
<x:worksheet xmlns:x="http://schemas.openxmlformats.org/spreadsheetml/2006/main">
  <x:sheetViews>
    <x:sheetView showGridLines="0" workbookViewId="0"/>
  </x:sheetViews>
  <x:sheetFormatPr defaultRowHeight="15"/>
  <x:cols>
    <x:col min="1" max="1" width="25" hidden="0" customWidth="1"/>
    <x:col min="2" max="2" width="18" hidden="0" customWidth="1"/>
    <x:col min="3" max="3" width="19" hidden="0" customWidth="1"/>
    <x:col min="4" max="4" width="22" hidden="0" customWidth="1"/>
    <x:col min="5" max="5" width="19" hidden="0" customWidth="1"/>
    <x:col min="6" max="6" width="19" hidden="0" customWidth="1"/>
    <x:col min="7" max="7" width="19" hidden="0" customWidth="1"/>
    <x:col min="8" max="8" width="14" hidden="0" customWidth="1"/>
    <x:col min="9" max="9" width="14" hidden="0" customWidth="1"/>
    <x:col min="10" max="10" width="14" hidden="0" customWidth="1"/>
    <x:col min="11" max="11" width="14" hidden="0" customWidth="1"/>
    <x:col min="12" max="12" width="14" hidden="0" customWidth="1"/>
    <x:col min="13" max="13" width="14" hidden="0" customWidth="1"/>
  </x:cols>
  <x:sheetData>
    <x:row r="1" ht="30" customHeight="1">
      <x:c r="A1" s="106" t="str">
        <x:v>Portfolio Profile</x:v>
      </x:c>
      <x:c r="B1" s="106"/>
      <x:c r="C1" s="106"/>
      <x:c r="D1" s="106"/>
      <x:c r="E1" s="106"/>
      <x:c r="F1" s="106"/>
      <x:c r="G1" s="106"/>
      <x:c r="H1" s="106"/>
      <x:c r="I1" s="106"/>
      <x:c r="J1" s="106"/>
      <x:c r="K1" s="106"/>
      <x:c r="L1" s="106"/>
      <x:c r="M1" s="108"/>
    </x:row>
    <x:row r="2" ht="24" customHeight="1">
      <x:c r="A2" s="107" t="str">
        <x:v>Synthetic bank exposure, borrower, product and sector composition | Monetary amounts in INR crore</x:v>
      </x:c>
      <x:c r="B2" s="107"/>
      <x:c r="C2" s="107"/>
      <x:c r="D2" s="107"/>
      <x:c r="E2" s="107"/>
      <x:c r="F2" s="107"/>
      <x:c r="G2" s="107"/>
      <x:c r="H2" s="107"/>
      <x:c r="I2" s="107"/>
      <x:c r="J2" s="107"/>
      <x:c r="K2" s="107"/>
      <x:c r="L2" s="107"/>
      <x:c r="M2" s="108"/>
    </x:row>
    <x:row r="3">
      <x:c r="A3" s="108"/>
      <x:c r="B3" s="108"/>
      <x:c r="C3" s="108"/>
      <x:c r="D3" s="108"/>
      <x:c r="E3" s="108"/>
      <x:c r="F3" s="108"/>
      <x:c r="G3" s="108"/>
      <x:c r="H3" s="108"/>
      <x:c r="I3" s="108"/>
      <x:c r="J3" s="108"/>
      <x:c r="K3" s="108"/>
      <x:c r="L3" s="108"/>
      <x:c r="M3" s="108"/>
    </x:row>
    <x:row r="4" ht="22" customHeight="1">
      <x:c r="A4" s="109" t="str">
        <x:v>Core portfolio metrics</x:v>
      </x:c>
      <x:c r="B4" s="109"/>
      <x:c r="C4" s="108"/>
      <x:c r="D4" s="109" t="str">
        <x:v>Sector concentration</x:v>
      </x:c>
      <x:c r="E4" s="109"/>
      <x:c r="F4" s="109"/>
      <x:c r="G4" s="109"/>
      <x:c r="H4" s="109"/>
      <x:c r="I4" s="109"/>
      <x:c r="J4" s="109"/>
      <x:c r="K4" s="109"/>
      <x:c r="L4" s="109"/>
      <x:c r="M4" s="109"/>
    </x:row>
    <x:row r="5" ht="30" customHeight="1">
      <x:c r="A5" s="122" t="str">
        <x:v>Metric</x:v>
      </x:c>
      <x:c r="B5" s="123" t="str">
        <x:v>Value</x:v>
      </x:c>
      <x:c r="C5" s="108"/>
      <x:c r="D5" s="122" t="str">
        <x:v>Sector</x:v>
      </x:c>
      <x:c r="E5" s="124" t="str">
        <x:v>Ead (INR crore)</x:v>
      </x:c>
      <x:c r="F5" s="124" t="str">
        <x:v>Sa Rwa (INR crore)</x:v>
      </x:c>
      <x:c r="G5" s="124" t="str">
        <x:v>Irb Rwa (INR crore)</x:v>
      </x:c>
      <x:c r="H5" s="124" t="str">
        <x:v>Exposure Count</x:v>
      </x:c>
      <x:c r="I5" s="124" t="str">
        <x:v>Ead Share</x:v>
      </x:c>
      <x:c r="J5" s="124" t="str">
        <x:v>Irb Rwa Share</x:v>
      </x:c>
      <x:c r="K5" s="124" t="str">
        <x:v>Hhi Component</x:v>
      </x:c>
      <x:c r="L5" s="124" t="str">
        <x:v>Weighted Pd</x:v>
      </x:c>
      <x:c r="M5" s="123" t="str">
        <x:v>Weighted Lgd</x:v>
      </x:c>
    </x:row>
    <x:row r="6">
      <x:c r="A6" s="125" t="str">
        <x:v>Exposure count</x:v>
      </x:c>
      <x:c r="B6" s="126" t="n">
        <x:v>30000</x:v>
      </x:c>
      <x:c r="C6" s="108"/>
      <x:c r="D6" s="125" t="str">
        <x:v>Financial Services</x:v>
      </x:c>
      <x:c r="E6" s="127" t="n">
        <x:v>139931.41796662714</x:v>
      </x:c>
      <x:c r="F6" s="127" t="n">
        <x:v>68578.03193918924</x:v>
      </x:c>
      <x:c r="G6" s="127" t="n">
        <x:v>88125.88688061282</x:v>
      </x:c>
      <x:c r="H6" s="126" t="n">
        <x:v>1771</x:v>
      </x:c>
      <x:c r="I6" s="128" t="n">
        <x:v>0.1996922162</x:v>
      </x:c>
      <x:c r="J6" s="128" t="n">
        <x:v>0.1510688313</x:v>
      </x:c>
      <x:c r="K6" s="129" t="n">
        <x:v>0.0398769812</x:v>
      </x:c>
      <x:c r="L6" s="128" t="n">
        <x:v>0.0160565743</x:v>
      </x:c>
      <x:c r="M6" s="128" t="n">
        <x:v>0.5305001493</x:v>
      </x:c>
    </x:row>
    <x:row r="7">
      <x:c r="A7" s="130" t="str">
        <x:v>Borrower count</x:v>
      </x:c>
      <x:c r="B7" s="131" t="n">
        <x:v>25125</x:v>
      </x:c>
      <x:c r="C7" s="108"/>
      <x:c r="D7" s="130" t="str">
        <x:v>Government</x:v>
      </x:c>
      <x:c r="E7" s="132" t="n">
        <x:v>139386.41947664847</x:v>
      </x:c>
      <x:c r="F7" s="132" t="n">
        <x:v>19020.99985192112</x:v>
      </x:c>
      <x:c r="G7" s="132" t="n">
        <x:v>25475.185787076643</x:v>
      </x:c>
      <x:c r="H7" s="131" t="n">
        <x:v>750</x:v>
      </x:c>
      <x:c r="I7" s="133" t="n">
        <x:v>0.1989144641</x:v>
      </x:c>
      <x:c r="J7" s="133" t="n">
        <x:v>0.0436705568</x:v>
      </x:c>
      <x:c r="K7" s="134" t="n">
        <x:v>0.039566964</x:v>
      </x:c>
      <x:c r="L7" s="133" t="n">
        <x:v>0.0003817235</x:v>
      </x:c>
      <x:c r="M7" s="133" t="n">
        <x:v>0.7621587156</x:v>
      </x:c>
    </x:row>
    <x:row r="8">
      <x:c r="A8" s="130" t="str">
        <x:v>Gross exposure</x:v>
      </x:c>
      <x:c r="B8" s="132" t="n">
        <x:v>558161.9862245091</x:v>
      </x:c>
      <x:c r="C8" s="108"/>
      <x:c r="D8" s="130" t="str">
        <x:v>Consumer</x:v>
      </x:c>
      <x:c r="E8" s="132" t="n">
        <x:v>56386.52830902028</x:v>
      </x:c>
      <x:c r="F8" s="132" t="n">
        <x:v>45194.65609011863</x:v>
      </x:c>
      <x:c r="G8" s="132" t="n">
        <x:v>73791.51077494054</x:v>
      </x:c>
      <x:c r="H8" s="131" t="n">
        <x:v>798</x:v>
      </x:c>
      <x:c r="I8" s="133" t="n">
        <x:v>0.0804676388</x:v>
      </x:c>
      <x:c r="J8" s="133" t="n">
        <x:v>0.1264962849</x:v>
      </x:c>
      <x:c r="K8" s="134" t="n">
        <x:v>0.0064750409</x:v>
      </x:c>
      <x:c r="L8" s="133" t="n">
        <x:v>0.0320570166</x:v>
      </x:c>
      <x:c r="M8" s="133" t="n">
        <x:v>0.729461539</x:v>
      </x:c>
    </x:row>
    <x:row r="9">
      <x:c r="A9" s="130" t="str">
        <x:v>Total EAD</x:v>
      </x:c>
      <x:c r="B9" s="132" t="n">
        <x:v>700735.4648341014</x:v>
      </x:c>
      <x:c r="C9" s="108"/>
      <x:c r="D9" s="130" t="str">
        <x:v>Healthcare</x:v>
      </x:c>
      <x:c r="E9" s="132" t="n">
        <x:v>55560.39436053274</x:v>
      </x:c>
      <x:c r="F9" s="132" t="n">
        <x:v>44659.99967842894</x:v>
      </x:c>
      <x:c r="G9" s="132" t="n">
        <x:v>68681.83827448396</x:v>
      </x:c>
      <x:c r="H9" s="131" t="n">
        <x:v>763</x:v>
      </x:c>
      <x:c r="I9" s="133" t="n">
        <x:v>0.0792886862</x:v>
      </x:c>
      <x:c r="J9" s="133" t="n">
        <x:v>0.1177370851</x:v>
      </x:c>
      <x:c r="K9" s="134" t="n">
        <x:v>0.0062866958</x:v>
      </x:c>
      <x:c r="L9" s="133" t="n">
        <x:v>0.0591812763</x:v>
      </x:c>
      <x:c r="M9" s="133" t="n">
        <x:v>0.7374324885</x:v>
      </x:c>
    </x:row>
    <x:row r="10">
      <x:c r="A10" s="130" t="str">
        <x:v>SA Credit RWA</x:v>
      </x:c>
      <x:c r="B10" s="132" t="n">
        <x:v>405323.35943071585</x:v>
      </x:c>
      <x:c r="C10" s="108"/>
      <x:c r="D10" s="130" t="str">
        <x:v>Auto Components</x:v>
      </x:c>
      <x:c r="E10" s="132" t="n">
        <x:v>55206.43975694961</x:v>
      </x:c>
      <x:c r="F10" s="132" t="n">
        <x:v>39097.86430976885</x:v>
      </x:c>
      <x:c r="G10" s="132" t="n">
        <x:v>57473.77884345482</x:v>
      </x:c>
      <x:c r="H10" s="131" t="n">
        <x:v>719</x:v>
      </x:c>
      <x:c r="I10" s="133" t="n">
        <x:v>0.0787835674</x:v>
      </x:c>
      <x:c r="J10" s="133" t="n">
        <x:v>0.0985237926</x:v>
      </x:c>
      <x:c r="K10" s="134" t="n">
        <x:v>0.0062068505</x:v>
      </x:c>
      <x:c r="L10" s="133" t="n">
        <x:v>0.0189685032</x:v>
      </x:c>
      <x:c r="M10" s="133" t="n">
        <x:v>0.7151391872</x:v>
      </x:c>
    </x:row>
    <x:row r="11">
      <x:c r="A11" s="130" t="str">
        <x:v>IRB Credit RWA</x:v>
      </x:c>
      <x:c r="B11" s="132" t="n">
        <x:v>583349.2328979744</x:v>
      </x:c>
      <x:c r="C11" s="108"/>
      <x:c r="D11" s="130" t="str">
        <x:v>Metals</x:v>
      </x:c>
      <x:c r="E11" s="132" t="n">
        <x:v>53794.76729112122</x:v>
      </x:c>
      <x:c r="F11" s="132" t="n">
        <x:v>41296.49609524937</x:v>
      </x:c>
      <x:c r="G11" s="132" t="n">
        <x:v>56226.87272523917</x:v>
      </x:c>
      <x:c r="H11" s="131" t="n">
        <x:v>748</x:v>
      </x:c>
      <x:c r="I11" s="133" t="n">
        <x:v>0.0767690091</x:v>
      </x:c>
      <x:c r="J11" s="133" t="n">
        <x:v>0.0963862975</x:v>
      </x:c>
      <x:c r="K11" s="134" t="n">
        <x:v>0.0058934808</x:v>
      </x:c>
      <x:c r="L11" s="133" t="n">
        <x:v>0.0641568266</x:v>
      </x:c>
      <x:c r="M11" s="133" t="n">
        <x:v>0.7062396231</x:v>
      </x:c>
    </x:row>
    <x:row r="12">
      <x:c r="A12" s="130" t="str">
        <x:v>IRB expected loss</x:v>
      </x:c>
      <x:c r="B12" s="132" t="n">
        <x:v>11753.820884425715</x:v>
      </x:c>
      <x:c r="C12" s="108"/>
      <x:c r="D12" s="130" t="str">
        <x:v>Real Estate</x:v>
      </x:c>
      <x:c r="E12" s="132" t="n">
        <x:v>51375.74011517681</x:v>
      </x:c>
      <x:c r="F12" s="132" t="n">
        <x:v>38375.25759226207</x:v>
      </x:c>
      <x:c r="G12" s="132" t="n">
        <x:v>58473.76140144328</x:v>
      </x:c>
      <x:c r="H12" s="131" t="n">
        <x:v>764</x:v>
      </x:c>
      <x:c r="I12" s="133" t="n">
        <x:v>0.073316883</x:v>
      </x:c>
      <x:c r="J12" s="133" t="n">
        <x:v>0.1002380017</x:v>
      </x:c>
      <x:c r="K12" s="134" t="n">
        <x:v>0.0053753653</x:v>
      </x:c>
      <x:c r="L12" s="133" t="n">
        <x:v>0.0187784582</x:v>
      </x:c>
      <x:c r="M12" s="133" t="n">
        <x:v>0.6951308116</x:v>
      </x:c>
    </x:row>
    <x:row r="13">
      <x:c r="A13" s="135" t="str">
        <x:v>Defaulted EAD share</x:v>
      </x:c>
      <x:c r="B13" s="136" t="n">
        <x:v>0.0116055326</x:v>
      </x:c>
      <x:c r="C13" s="108"/>
      <x:c r="D13" s="130" t="str">
        <x:v>Textiles</x:v>
      </x:c>
      <x:c r="E13" s="132" t="n">
        <x:v>49373.77806757153</x:v>
      </x:c>
      <x:c r="F13" s="132" t="n">
        <x:v>35765.45510411914</x:v>
      </x:c>
      <x:c r="G13" s="132" t="n">
        <x:v>53961.88452084408</x:v>
      </x:c>
      <x:c r="H13" s="131" t="n">
        <x:v>690</x:v>
      </x:c>
      <x:c r="I13" s="133" t="n">
        <x:v>0.0704599389</x:v>
      </x:c>
      <x:c r="J13" s="133" t="n">
        <x:v>0.0925035664</x:v>
      </x:c>
      <x:c r="K13" s="134" t="n">
        <x:v>0.004964603</x:v>
      </x:c>
      <x:c r="L13" s="133" t="n">
        <x:v>0.0134214454</x:v>
      </x:c>
      <x:c r="M13" s="133" t="n">
        <x:v>0.7068004833</x:v>
      </x:c>
    </x:row>
    <x:row r="14">
      <x:c r="A14" s="108"/>
      <x:c r="B14" s="108"/>
      <x:c r="C14" s="108"/>
      <x:c r="D14" s="130" t="str">
        <x:v>IT Services</x:v>
      </x:c>
      <x:c r="E14" s="132" t="n">
        <x:v>48813.3987798572</x:v>
      </x:c>
      <x:c r="F14" s="132" t="n">
        <x:v>36211.72002339181</x:v>
      </x:c>
      <x:c r="G14" s="132" t="n">
        <x:v>48747.04568179307</x:v>
      </x:c>
      <x:c r="H14" s="131" t="n">
        <x:v>713</x:v>
      </x:c>
      <x:c r="I14" s="133" t="n">
        <x:v>0.0696602373</x:v>
      </x:c>
      <x:c r="J14" s="133" t="n">
        <x:v>0.0835640864</x:v>
      </x:c>
      <x:c r="K14" s="134" t="n">
        <x:v>0.0048525487</x:v>
      </x:c>
      <x:c r="L14" s="133" t="n">
        <x:v>0.026464078</x:v>
      </x:c>
      <x:c r="M14" s="133" t="n">
        <x:v>0.6613784008</x:v>
      </x:c>
    </x:row>
    <x:row r="15">
      <x:c r="A15" s="108"/>
      <x:c r="B15" s="108"/>
      <x:c r="C15" s="108"/>
      <x:c r="D15" s="130" t="str">
        <x:v>Construction</x:v>
      </x:c>
      <x:c r="E15" s="132" t="n">
        <x:v>46076.30833343573</x:v>
      </x:c>
      <x:c r="F15" s="132" t="n">
        <x:v>35244.38448797079</x:v>
      </x:c>
      <x:c r="G15" s="132" t="n">
        <x:v>50542.276874128765</x:v>
      </x:c>
      <x:c r="H15" s="131" t="n">
        <x:v>684</x:v>
      </x:c>
      <x:c r="I15" s="133" t="n">
        <x:v>0.065754212</x:v>
      </x:c>
      <x:c r="J15" s="133" t="n">
        <x:v>0.0866415417</x:v>
      </x:c>
      <x:c r="K15" s="134" t="n">
        <x:v>0.0043236164</x:v>
      </x:c>
      <x:c r="L15" s="133" t="n">
        <x:v>0.0223150762</x:v>
      </x:c>
      <x:c r="M15" s="133" t="n">
        <x:v>0.6770269599</x:v>
      </x:c>
    </x:row>
    <x:row r="16">
      <x:c r="A16" s="108"/>
      <x:c r="B16" s="108"/>
      <x:c r="C16" s="108"/>
      <x:c r="D16" s="135" t="str">
        <x:v>Households</x:v>
      </x:c>
      <x:c r="E16" s="137" t="n">
        <x:v>4830.272377160793</x:v>
      </x:c>
      <x:c r="F16" s="137" t="n">
        <x:v>1878.4942582959209</x:v>
      </x:c>
      <x:c r="G16" s="137" t="n">
        <x:v>1849.1911339571884</x:v>
      </x:c>
      <x:c r="H16" s="138" t="n">
        <x:v>21600</x:v>
      </x:c>
      <x:c r="I16" s="136" t="n">
        <x:v>0.0068931467</x:v>
      </x:c>
      <x:c r="J16" s="136" t="n">
        <x:v>0.0031699555</x:v>
      </x:c>
      <x:c r="K16" s="139" t="n">
        <x:v>0.0000475155</x:v>
      </x:c>
      <x:c r="L16" s="136" t="n">
        <x:v>0.0253208114</x:v>
      </x:c>
      <x:c r="M16" s="136" t="n">
        <x:v>0.3588759676</x:v>
      </x:c>
    </x:row>
    <x:row r="17">
      <x:c r="A17" s="108"/>
      <x:c r="B17" s="108"/>
      <x:c r="C17" s="108"/>
      <x:c r="D17" s="108"/>
      <x:c r="E17" s="108"/>
      <x:c r="F17" s="108"/>
      <x:c r="G17" s="108"/>
      <x:c r="H17" s="108"/>
      <x:c r="I17" s="108"/>
      <x:c r="J17" s="108"/>
      <x:c r="K17" s="108"/>
      <x:c r="L17" s="108"/>
      <x:c r="M17" s="108"/>
    </x:row>
    <x:row r="18">
      <x:c r="A18" s="108"/>
      <x:c r="B18" s="108"/>
      <x:c r="C18" s="108"/>
      <x:c r="D18" s="108"/>
      <x:c r="E18" s="108"/>
      <x:c r="F18" s="108"/>
      <x:c r="G18" s="108"/>
      <x:c r="H18" s="108"/>
      <x:c r="I18" s="108"/>
      <x:c r="J18" s="108"/>
      <x:c r="K18" s="108"/>
      <x:c r="L18" s="108"/>
      <x:c r="M18" s="108"/>
    </x:row>
    <x:row r="19" ht="22" customHeight="1">
      <x:c r="A19" s="109" t="str">
        <x:v>Product concentration</x:v>
      </x:c>
      <x:c r="B19" s="109"/>
      <x:c r="C19" s="109"/>
      <x:c r="D19" s="109"/>
      <x:c r="E19" s="109"/>
      <x:c r="F19" s="109"/>
      <x:c r="G19" s="109"/>
      <x:c r="H19" s="109"/>
      <x:c r="I19" s="109"/>
      <x:c r="J19" s="109"/>
      <x:c r="K19" s="108"/>
      <x:c r="L19" s="108"/>
      <x:c r="M19" s="108"/>
    </x:row>
    <x:row r="20" ht="30" customHeight="1">
      <x:c r="A20" s="122" t="str">
        <x:v>Product Type</x:v>
      </x:c>
      <x:c r="B20" s="124" t="str">
        <x:v>Ead (INR crore)</x:v>
      </x:c>
      <x:c r="C20" s="124" t="str">
        <x:v>Sa Rwa (INR crore)</x:v>
      </x:c>
      <x:c r="D20" s="124" t="str">
        <x:v>Irb Rwa (INR crore)</x:v>
      </x:c>
      <x:c r="E20" s="124" t="str">
        <x:v>Exposure Count</x:v>
      </x:c>
      <x:c r="F20" s="124" t="str">
        <x:v>Ead Share</x:v>
      </x:c>
      <x:c r="G20" s="124" t="str">
        <x:v>Irb Rwa Share</x:v>
      </x:c>
      <x:c r="H20" s="124" t="str">
        <x:v>Hhi Component</x:v>
      </x:c>
      <x:c r="I20" s="124" t="str">
        <x:v>Weighted Pd</x:v>
      </x:c>
      <x:c r="J20" s="123" t="str">
        <x:v>Weighted Lgd</x:v>
      </x:c>
      <x:c r="K20" s="108"/>
      <x:c r="L20" s="108"/>
      <x:c r="M20" s="108"/>
    </x:row>
    <x:row r="21">
      <x:c r="A21" s="125" t="str">
        <x:v>Corporate Revolver</x:v>
      </x:c>
      <x:c r="B21" s="127" t="n">
        <x:v>446058.509896505</x:v>
      </x:c>
      <x:c r="C21" s="127" t="n">
        <x:v>332196.40754626686</x:v>
      </x:c>
      <x:c r="D21" s="127" t="n">
        <x:v>491236.5943637679</x:v>
      </x:c>
      <x:c r="E21" s="126" t="n">
        <x:v>3000</x:v>
      </x:c>
      <x:c r="F21" s="128" t="n">
        <x:v>0.6365576345</x:v>
      </x:c>
      <x:c r="G21" s="128" t="n">
        <x:v>0.8420969235</x:v>
      </x:c>
      <x:c r="H21" s="129" t="n">
        <x:v>0.405205622</x:v>
      </x:c>
      <x:c r="I21" s="128" t="n">
        <x:v>0.0308539897</x:v>
      </x:c>
      <x:c r="J21" s="128" t="n">
        <x:v>0.6970631623</x:v>
      </x:c>
      <x:c r="K21" s="108"/>
      <x:c r="L21" s="108"/>
      <x:c r="M21" s="108"/>
    </x:row>
    <x:row r="22">
      <x:c r="A22" s="130" t="str">
        <x:v>Sovereign Bond</x:v>
      </x:c>
      <x:c r="B22" s="132" t="n">
        <x:v>139386.41947664847</x:v>
      </x:c>
      <x:c r="C22" s="132" t="n">
        <x:v>19020.99985192112</x:v>
      </x:c>
      <x:c r="D22" s="132" t="n">
        <x:v>25475.185787076643</x:v>
      </x:c>
      <x:c r="E22" s="131" t="n">
        <x:v>750</x:v>
      </x:c>
      <x:c r="F22" s="133" t="n">
        <x:v>0.1989144641</x:v>
      </x:c>
      <x:c r="G22" s="133" t="n">
        <x:v>0.0436705568</x:v>
      </x:c>
      <x:c r="H22" s="134" t="n">
        <x:v>0.039566964</x:v>
      </x:c>
      <x:c r="I22" s="133" t="n">
        <x:v>0.0003817235</x:v>
      </x:c>
      <x:c r="J22" s="133" t="n">
        <x:v>0.7621587156</x:v>
      </x:c>
      <x:c r="K22" s="108"/>
      <x:c r="L22" s="108"/>
      <x:c r="M22" s="108"/>
    </x:row>
    <x:row r="23">
      <x:c r="A23" s="130" t="str">
        <x:v>Bank Loan</x:v>
      </x:c>
      <x:c r="B23" s="132" t="n">
        <x:v>86474.13616761977</x:v>
      </x:c>
      <x:c r="C23" s="132" t="n">
        <x:v>29681.62253803385</x:v>
      </x:c>
      <x:c r="D23" s="132" t="n">
        <x:v>24798.62711637545</x:v>
      </x:c>
      <x:c r="E23" s="131" t="n">
        <x:v>1050</x:v>
      </x:c>
      <x:c r="F23" s="133" t="n">
        <x:v>0.1234048232</x:v>
      </x:c>
      <x:c r="G23" s="133" t="n">
        <x:v>0.0425107735</x:v>
      </x:c>
      <x:c r="H23" s="134" t="n">
        <x:v>0.0152287504</x:v>
      </x:c>
      <x:c r="I23" s="133" t="n">
        <x:v>0.0100138952</x:v>
      </x:c>
      <x:c r="J23" s="133" t="n">
        <x:v>0.4091814573</x:v>
      </x:c>
      <x:c r="K23" s="108"/>
      <x:c r="L23" s="108"/>
      <x:c r="M23" s="108"/>
    </x:row>
    <x:row r="24">
      <x:c r="A24" s="130" t="str">
        <x:v>Sme Revolver</x:v>
      </x:c>
      <x:c r="B24" s="132" t="n">
        <x:v>22800.968210256615</x:v>
      </x:c>
      <x:c r="C24" s="132" t="n">
        <x:v>21377.174518654247</x:v>
      </x:c>
      <x:c r="D24" s="132" t="n">
        <x:v>37788.55517175737</x:v>
      </x:c>
      <x:c r="E24" s="131" t="n">
        <x:v>3000</x:v>
      </x:c>
      <x:c r="F24" s="133" t="n">
        <x:v>0.0325386246</x:v>
      </x:c>
      <x:c r="G24" s="133" t="n">
        <x:v>0.0647786147</x:v>
      </x:c>
      <x:c r="H24" s="134" t="n">
        <x:v>0.0010587621</x:v>
      </x:c>
      <x:c r="I24" s="133" t="n">
        <x:v>0.0491204748</x:v>
      </x:c>
      <x:c r="J24" s="133" t="n">
        <x:v>0.8952487526</x:v>
      </x:c>
      <x:c r="K24" s="108"/>
      <x:c r="L24" s="108"/>
      <x:c r="M24" s="108"/>
    </x:row>
    <x:row r="25">
      <x:c r="A25" s="130" t="str">
        <x:v>Mortgage</x:v>
      </x:c>
      <x:c r="B25" s="132" t="n">
        <x:v>4269.668168144086</x:v>
      </x:c>
      <x:c r="C25" s="132" t="n">
        <x:v>1467.2297853842565</x:v>
      </x:c>
      <x:c r="D25" s="132" t="n">
        <x:v>1267.088586600567</x:v>
      </x:c>
      <x:c r="E25" s="131" t="n">
        <x:v>9600</x:v>
      </x:c>
      <x:c r="F25" s="133" t="n">
        <x:v>0.0060931241</x:v>
      </x:c>
      <x:c r="G25" s="133" t="n">
        <x:v>0.0021720927</x:v>
      </x:c>
      <x:c r="H25" s="134" t="n">
        <x:v>0.0000371262</x:v>
      </x:c>
      <x:c r="I25" s="133" t="n">
        <x:v>0.0219817012</x:v>
      </x:c>
      <x:c r="J25" s="133" t="n">
        <x:v>0.2748254131</x:v>
      </x:c>
      <x:c r="K25" s="108"/>
      <x:c r="L25" s="108"/>
      <x:c r="M25" s="108"/>
    </x:row>
    <x:row r="26">
      <x:c r="A26" s="130" t="str">
        <x:v>Other</x:v>
      </x:c>
      <x:c r="B26" s="132" t="n">
        <x:v>1185.1587059108497</x:v>
      </x:c>
      <x:c r="C26" s="132" t="n">
        <x:v>1168.6607175438987</x:v>
      </x:c>
      <x:c r="D26" s="132" t="n">
        <x:v>2201.0793250398638</x:v>
      </x:c>
      <x:c r="E26" s="131" t="n">
        <x:v>600</x:v>
      </x:c>
      <x:c r="F26" s="133" t="n">
        <x:v>0.0016913069</x:v>
      </x:c>
      <x:c r="G26" s="133" t="n">
        <x:v>0.003773176</x:v>
      </x:c>
      <x:c r="H26" s="134" t="n">
        <x:v>0.0000028605</x:v>
      </x:c>
      <x:c r="I26" s="133" t="n">
        <x:v>0.0336020854</x:v>
      </x:c>
      <x:c r="J26" s="133" t="n">
        <x:v>0.9888634863</x:v>
      </x:c>
      <x:c r="K26" s="108"/>
      <x:c r="L26" s="108"/>
      <x:c r="M26" s="108"/>
    </x:row>
    <x:row r="27">
      <x:c r="A27" s="130" t="str">
        <x:v>Personal Loan</x:v>
      </x:c>
      <x:c r="B27" s="132" t="n">
        <x:v>482.9275557947405</x:v>
      </x:c>
      <x:c r="C27" s="132" t="n">
        <x:v>358.376695887571</x:v>
      </x:c>
      <x:c r="D27" s="132" t="n">
        <x:v>516.0911275685507</x:v>
      </x:c>
      <x:c r="E27" s="131" t="n">
        <x:v>6000</x:v>
      </x:c>
      <x:c r="F27" s="133" t="n">
        <x:v>0.0006891724</x:v>
      </x:c>
      <x:c r="G27" s="133" t="n">
        <x:v>0.0008847035</x:v>
      </x:c>
      <x:c r="H27" s="134" t="n">
        <x:v>4.75e-7</x:v>
      </x:c>
      <x:c r="I27" s="133" t="n">
        <x:v>0.049581324</x:v>
      </x:c>
      <x:c r="J27" s="133" t="n">
        <x:v>0.9988634863</x:v>
      </x:c>
      <x:c r="K27" s="108"/>
      <x:c r="L27" s="108"/>
      <x:c r="M27" s="108"/>
    </x:row>
    <x:row r="28">
      <x:c r="A28" s="135" t="str">
        <x:v>Credit Card</x:v>
      </x:c>
      <x:c r="B28" s="137" t="n">
        <x:v>77.67665322196703</x:v>
      </x:c>
      <x:c r="C28" s="137" t="n">
        <x:v>52.88777702409341</x:v>
      </x:c>
      <x:c r="D28" s="137" t="n">
        <x:v>66.01141978807071</x:v>
      </x:c>
      <x:c r="E28" s="138" t="n">
        <x:v>6000</x:v>
      </x:c>
      <x:c r="F28" s="136" t="n">
        <x:v>0.0001108502</x:v>
      </x:c>
      <x:c r="G28" s="136" t="n">
        <x:v>0.0001131593</x:v>
      </x:c>
      <x:c r="H28" s="139" t="n">
        <x:v>1.23e-8</x:v>
      </x:c>
      <x:c r="I28" s="136" t="n">
        <x:v>0.0580310597</x:v>
      </x:c>
      <x:c r="J28" s="136" t="n">
        <x:v>1</x:v>
      </x:c>
      <x:c r="K28" s="108"/>
      <x:c r="L28" s="108"/>
      <x:c r="M28" s="108"/>
    </x:row>
    <x:row r="29">
      <x:c r="A29" s="108"/>
      <x:c r="B29" s="140"/>
      <x:c r="C29" s="140"/>
      <x:c r="D29" s="140"/>
      <x:c r="E29" s="141"/>
      <x:c r="F29" s="142"/>
      <x:c r="G29" s="142"/>
      <x:c r="H29" s="143"/>
      <x:c r="I29" s="142"/>
      <x:c r="J29" s="142"/>
      <x:c r="K29" s="108"/>
      <x:c r="L29" s="108"/>
      <x:c r="M29" s="108"/>
    </x:row>
    <x:row r="30">
      <x:c r="A30" s="108"/>
      <x:c r="B30" s="140"/>
      <x:c r="C30" s="140"/>
      <x:c r="D30" s="140"/>
      <x:c r="E30" s="141"/>
      <x:c r="F30" s="142"/>
      <x:c r="G30" s="142"/>
      <x:c r="H30" s="143"/>
      <x:c r="I30" s="142"/>
      <x:c r="J30" s="142"/>
      <x:c r="K30" s="108"/>
      <x:c r="L30" s="108"/>
      <x:c r="M30" s="108"/>
    </x:row>
    <x:row r="31">
      <x:c r="A31" s="108"/>
      <x:c r="B31" s="140"/>
      <x:c r="C31" s="140"/>
      <x:c r="D31" s="140"/>
      <x:c r="E31" s="141"/>
      <x:c r="F31" s="142"/>
      <x:c r="G31" s="142"/>
      <x:c r="H31" s="143"/>
      <x:c r="I31" s="142"/>
      <x:c r="J31" s="142"/>
      <x:c r="K31" s="108"/>
      <x:c r="L31" s="108"/>
      <x:c r="M31" s="108"/>
    </x:row>
    <x:row r="32">
      <x:c r="A32" s="108"/>
      <x:c r="B32" s="140"/>
      <x:c r="C32" s="140"/>
      <x:c r="D32" s="140"/>
      <x:c r="E32" s="141"/>
      <x:c r="F32" s="142"/>
      <x:c r="G32" s="142"/>
      <x:c r="H32" s="143"/>
      <x:c r="I32" s="142"/>
      <x:c r="J32" s="142"/>
      <x:c r="K32" s="108"/>
      <x:c r="L32" s="108"/>
      <x:c r="M32" s="108"/>
    </x:row>
    <x:row r="33">
      <x:c r="A33" s="108"/>
      <x:c r="B33" s="140"/>
      <x:c r="C33" s="140"/>
      <x:c r="D33" s="140"/>
      <x:c r="E33" s="141"/>
      <x:c r="F33" s="142"/>
      <x:c r="G33" s="142"/>
      <x:c r="H33" s="143"/>
      <x:c r="I33" s="142"/>
      <x:c r="J33" s="142"/>
      <x:c r="K33" s="108"/>
      <x:c r="L33" s="108"/>
      <x:c r="M33" s="108"/>
    </x:row>
    <x:row r="34">
      <x:c r="A34" s="108"/>
      <x:c r="B34" s="140"/>
      <x:c r="C34" s="140"/>
      <x:c r="D34" s="140"/>
      <x:c r="E34" s="141"/>
      <x:c r="F34" s="142"/>
      <x:c r="G34" s="142"/>
      <x:c r="H34" s="143"/>
      <x:c r="I34" s="142"/>
      <x:c r="J34" s="142"/>
      <x:c r="K34" s="108"/>
      <x:c r="L34" s="108"/>
      <x:c r="M34" s="108"/>
    </x:row>
  </x:sheetData>
  <x:mergeCells>
    <x:mergeCell ref="A1:L1"/>
    <x:mergeCell ref="A2:L2"/>
    <x:mergeCell ref="A4:B4"/>
    <x:mergeCell ref="D4:M4"/>
    <x:mergeCell ref="A19:J19"/>
  </x:mergeCells>
  <x:pageMargins left="0.7" right="0.7" top="0.75" bottom="0.75" header="0.3" footer="0.3"/>
  <x:drawing xmlns:r="http://schemas.openxmlformats.org/officeDocument/2006/relationships" r:id="Rd0fd5d0e909e4c87"/>
  <x:tableParts count="2">
    <x:tablePart xmlns:r="http://schemas.openxmlformats.org/officeDocument/2006/relationships" r:id="Rca1d95b8fb894ced"/>
    <x:tablePart xmlns:r="http://schemas.openxmlformats.org/officeDocument/2006/relationships" r:id="R8c2f60a9d31845e3"/>
  </x:tableParts>
</x:worksheet>
</file>

<file path=xl/worksheets/sheet3.xml><?xml version="1.0" encoding="utf-8"?>
<x:worksheet xmlns:x="http://schemas.openxmlformats.org/spreadsheetml/2006/main">
  <x:sheetViews>
    <x:sheetView showGridLines="0" workbookViewId="0"/>
  </x:sheetViews>
  <x:sheetFormatPr defaultRowHeight="15"/>
  <x:cols>
    <x:col min="1" max="1" width="30" hidden="0" customWidth="1"/>
    <x:col min="2" max="2" width="18" hidden="0" customWidth="1"/>
    <x:col min="3" max="3" width="18" hidden="0" customWidth="1"/>
    <x:col min="4" max="4" width="18" hidden="0" customWidth="1"/>
    <x:col min="5" max="5" width="18" hidden="0" customWidth="1"/>
  </x:cols>
  <x:sheetData>
    <x:row r="1" ht="30" customHeight="1">
      <x:c r="A1" s="106" t="str">
        <x:v>Standardised Approach Credit RWA</x:v>
      </x:c>
      <x:c r="B1" s="106"/>
      <x:c r="C1" s="106"/>
      <x:c r="D1" s="106"/>
      <x:c r="E1" s="106"/>
      <x:c r="F1" s="106"/>
      <x:c r="G1" s="106"/>
      <x:c r="H1" s="106"/>
      <x:c r="I1" s="106"/>
      <x:c r="J1" s="106"/>
      <x:c r="K1" s="106"/>
      <x:c r="L1" s="106"/>
    </x:row>
    <x:row r="2" ht="24" customHeight="1">
      <x:c r="A2" s="107" t="str">
        <x:v>Applied exposure classes, post-CRM EAD, risk weights and RWA density | INR crore</x:v>
      </x:c>
      <x:c r="B2" s="107"/>
      <x:c r="C2" s="107"/>
      <x:c r="D2" s="107"/>
      <x:c r="E2" s="107"/>
      <x:c r="F2" s="107"/>
      <x:c r="G2" s="107"/>
      <x:c r="H2" s="107"/>
      <x:c r="I2" s="107"/>
      <x:c r="J2" s="107"/>
      <x:c r="K2" s="107"/>
      <x:c r="L2" s="107"/>
    </x:row>
    <x:row r="3">
      <x:c r="A3" s="108"/>
      <x:c r="B3" s="108"/>
      <x:c r="C3" s="108"/>
      <x:c r="D3" s="108"/>
      <x:c r="E3" s="108"/>
      <x:c r="F3" s="108"/>
      <x:c r="G3" s="108"/>
      <x:c r="H3" s="108"/>
      <x:c r="I3" s="108"/>
      <x:c r="J3" s="108"/>
      <x:c r="K3" s="108"/>
      <x:c r="L3" s="108"/>
    </x:row>
    <x:row r="4" ht="30" customHeight="1">
      <x:c r="A4" s="122" t="str">
        <x:v>Basel Exposure Class</x:v>
      </x:c>
      <x:c r="B4" s="124" t="str">
        <x:v>Ead Pre Crm (INR crore)</x:v>
      </x:c>
      <x:c r="C4" s="124" t="str">
        <x:v>Ead Post Crm (INR crore)</x:v>
      </x:c>
      <x:c r="D4" s="124" t="str">
        <x:v>Sa Rwa (INR crore)</x:v>
      </x:c>
      <x:c r="E4" s="123" t="str">
        <x:v>Average Risk Weight</x:v>
      </x:c>
      <x:c r="F4" s="108"/>
      <x:c r="G4" s="108"/>
      <x:c r="H4" s="108"/>
      <x:c r="I4" s="108"/>
      <x:c r="J4" s="108"/>
      <x:c r="K4" s="108"/>
      <x:c r="L4" s="108"/>
    </x:row>
    <x:row r="5">
      <x:c r="A5" s="125" t="str">
        <x:v>Bank</x:v>
      </x:c>
      <x:c r="B5" s="127" t="n">
        <x:v>85966.04813679571</x:v>
      </x:c>
      <x:c r="C5" s="127" t="n">
        <x:v>78197.27112242617</x:v>
      </x:c>
      <x:c r="D5" s="127" t="n">
        <x:v>29067.4864009404</x:v>
      </x:c>
      <x:c r="E5" s="128" t="n">
        <x:v>0.3746397695</x:v>
      </x:c>
      <x:c r="F5" s="108"/>
      <x:c r="G5" s="108"/>
      <x:c r="H5" s="108"/>
      <x:c r="I5" s="108"/>
      <x:c r="J5" s="108"/>
      <x:c r="K5" s="108"/>
      <x:c r="L5" s="108"/>
    </x:row>
    <x:row r="6">
      <x:c r="A6" s="130" t="str">
        <x:v>Corporate</x:v>
      </x:c>
      <x:c r="B6" s="132" t="n">
        <x:v>435228.34779463586</x:v>
      </x:c>
      <x:c r="C6" s="132" t="n">
        <x:v>435228.34779463586</x:v>
      </x:c>
      <x:c r="D6" s="132" t="n">
        <x:v>318593.53247924795</x:v>
      </x:c>
      <x:c r="E6" s="133" t="n">
        <x:v>0.7413683506</x:v>
      </x:c>
      <x:c r="F6" s="108"/>
      <x:c r="G6" s="108"/>
      <x:c r="H6" s="108"/>
      <x:c r="I6" s="108"/>
      <x:c r="J6" s="108"/>
      <x:c r="K6" s="108"/>
      <x:c r="L6" s="108"/>
    </x:row>
    <x:row r="7">
      <x:c r="A7" s="130" t="str">
        <x:v>Corporate Sme</x:v>
      </x:c>
      <x:c r="B7" s="132" t="n">
        <x:v>26066.645920357958</x:v>
      </x:c>
      <x:c r="C7" s="132" t="n">
        <x:v>26066.645920357958</x:v>
      </x:c>
      <x:c r="D7" s="132" t="n">
        <x:v>23713.936071489585</x:v>
      </x:c>
      <x:c r="E7" s="133" t="n">
        <x:v>0.951691989</x:v>
      </x:c>
      <x:c r="F7" s="108"/>
      <x:c r="G7" s="108"/>
      <x:c r="H7" s="108"/>
      <x:c r="I7" s="108"/>
      <x:c r="J7" s="108"/>
      <x:c r="K7" s="108"/>
      <x:c r="L7" s="108"/>
    </x:row>
    <x:row r="8">
      <x:c r="A8" s="130" t="str">
        <x:v>Defaulted</x:v>
      </x:c>
      <x:c r="B8" s="132" t="n">
        <x:v>8132.40826055647</x:v>
      </x:c>
      <x:c r="C8" s="132" t="n">
        <x:v>8057.300333152173</x:v>
      </x:c>
      <x:c r="D8" s="132" t="n">
        <x:v>11969.24894388547</x:v>
      </x:c>
      <x:c r="E8" s="133" t="n">
        <x:v>1.5</x:v>
      </x:c>
      <x:c r="F8" s="108"/>
      <x:c r="G8" s="108"/>
      <x:c r="H8" s="108"/>
      <x:c r="I8" s="108"/>
      <x:c r="J8" s="108"/>
      <x:c r="K8" s="108"/>
      <x:c r="L8" s="108"/>
    </x:row>
    <x:row r="9">
      <x:c r="A9" s="130" t="str">
        <x:v>Other</x:v>
      </x:c>
      <x:c r="B9" s="132" t="n">
        <x:v>1168.2712109863826</x:v>
      </x:c>
      <x:c r="C9" s="132" t="n">
        <x:v>1168.2712109863826</x:v>
      </x:c>
      <x:c r="D9" s="132" t="n">
        <x:v>1143.3294751571984</x:v>
      </x:c>
      <x:c r="E9" s="133" t="n">
        <x:v>1</x:v>
      </x:c>
      <x:c r="F9" s="108"/>
      <x:c r="G9" s="108"/>
      <x:c r="H9" s="108"/>
      <x:c r="I9" s="108"/>
      <x:c r="J9" s="108"/>
      <x:c r="K9" s="108"/>
      <x:c r="L9" s="108"/>
    </x:row>
    <x:row r="10">
      <x:c r="A10" s="130" t="str">
        <x:v>Regulatory Retail</x:v>
      </x:c>
      <x:c r="B10" s="132" t="n">
        <x:v>475.23306052162934</x:v>
      </x:c>
      <x:c r="C10" s="132" t="n">
        <x:v>475.23306052162934</x:v>
      </x:c>
      <x:c r="D10" s="132" t="n">
        <x:v>347.0928942833718</x:v>
      </x:c>
      <x:c r="E10" s="133" t="n">
        <x:v>0.75</x:v>
      </x:c>
      <x:c r="F10" s="108"/>
      <x:c r="G10" s="108"/>
      <x:c r="H10" s="108"/>
      <x:c r="I10" s="108"/>
      <x:c r="J10" s="108"/>
      <x:c r="K10" s="108"/>
      <x:c r="L10" s="108"/>
    </x:row>
    <x:row r="11">
      <x:c r="A11" s="130" t="str">
        <x:v>Residential Real Estate</x:v>
      </x:c>
      <x:c r="B11" s="132" t="n">
        <x:v>4235.829879346015</x:v>
      </x:c>
      <x:c r="C11" s="132" t="n">
        <x:v>4235.829879346015</x:v>
      </x:c>
      <x:c r="D11" s="132" t="n">
        <x:v>1416.9298770252751</x:v>
      </x:c>
      <x:c r="E11" s="133" t="n">
        <x:v>0.3387464537</x:v>
      </x:c>
      <x:c r="F11" s="108"/>
      <x:c r="G11" s="108"/>
      <x:c r="H11" s="108"/>
      <x:c r="I11" s="108"/>
      <x:c r="J11" s="108"/>
      <x:c r="K11" s="108"/>
      <x:c r="L11" s="108"/>
    </x:row>
    <x:row r="12">
      <x:c r="A12" s="130" t="str">
        <x:v>Retail Transactor</x:v>
      </x:c>
      <x:c r="B12" s="132" t="n">
        <x:v>16.929704837020306</x:v>
      </x:c>
      <x:c r="C12" s="132" t="n">
        <x:v>16.929704837020306</x:v>
      </x:c>
      <x:c r="D12" s="132" t="n">
        <x:v>7.456961655098778</x:v>
      </x:c>
      <x:c r="E12" s="133" t="n">
        <x:v>0.45</x:v>
      </x:c>
      <x:c r="F12" s="108"/>
      <x:c r="G12" s="108"/>
      <x:c r="H12" s="108"/>
      <x:c r="I12" s="108"/>
      <x:c r="J12" s="108"/>
      <x:c r="K12" s="108"/>
      <x:c r="L12" s="108"/>
    </x:row>
    <x:row r="13">
      <x:c r="A13" s="130" t="str">
        <x:v>Revolving Retail</x:v>
      </x:c>
      <x:c r="B13" s="132" t="n">
        <x:v>59.331389416021715</x:v>
      </x:c>
      <x:c r="C13" s="132" t="n">
        <x:v>59.331389416021715</x:v>
      </x:c>
      <x:c r="D13" s="132" t="n">
        <x:v>43.34647511042866</x:v>
      </x:c>
      <x:c r="E13" s="133" t="n">
        <x:v>0.75</x:v>
      </x:c>
      <x:c r="F13" s="108"/>
      <x:c r="G13" s="108"/>
      <x:c r="H13" s="108"/>
      <x:c r="I13" s="108"/>
      <x:c r="J13" s="108"/>
      <x:c r="K13" s="108"/>
      <x:c r="L13" s="108"/>
    </x:row>
    <x:row r="14">
      <x:c r="A14" s="135" t="str">
        <x:v>Sovereign</x:v>
      </x:c>
      <x:c r="B14" s="137" t="n">
        <x:v>139386.41947664847</x:v>
      </x:c>
      <x:c r="C14" s="137" t="n">
        <x:v>139386.41947664847</x:v>
      </x:c>
      <x:c r="D14" s="137" t="n">
        <x:v>19020.99985192112</x:v>
      </x:c>
      <x:c r="E14" s="136" t="n">
        <x:v>0.1392</x:v>
      </x:c>
      <x:c r="F14" s="108"/>
      <x:c r="G14" s="108"/>
      <x:c r="H14" s="108"/>
      <x:c r="I14" s="108"/>
      <x:c r="J14" s="108"/>
      <x:c r="K14" s="108"/>
      <x:c r="L14" s="108"/>
    </x:row>
    <x:row r="15">
      <x:c r="A15" s="144" t="str">
        <x:v>Total SA Credit RWA</x:v>
      </x:c>
      <x:c r="B15" s="145"/>
      <x:c r="C15" s="145"/>
      <x:c r="D15" s="145" t="n">
        <x:f>SUM(D5:D14)</x:f>
        <x:v>405323.3594307159</x:v>
      </x:c>
      <x:c r="E15" s="144"/>
      <x:c r="F15" s="108"/>
      <x:c r="G15" s="108"/>
      <x:c r="H15" s="108"/>
      <x:c r="I15" s="108"/>
      <x:c r="J15" s="108"/>
      <x:c r="K15" s="108"/>
      <x:c r="L15" s="108"/>
    </x:row>
  </x:sheetData>
  <x:mergeCells>
    <x:mergeCell ref="A1:L1"/>
    <x:mergeCell ref="A2:L2"/>
    <x:mergeCell ref="A15:C15"/>
  </x:mergeCells>
  <x:pageMargins left="0.7" right="0.7" top="0.75" bottom="0.75" header="0.3" footer="0.3"/>
  <x:tableParts count="1">
    <x:tablePart xmlns:r="http://schemas.openxmlformats.org/officeDocument/2006/relationships" r:id="Re71978512a644b92"/>
  </x:tableParts>
</x:worksheet>
</file>

<file path=xl/worksheets/sheet4.xml><?xml version="1.0" encoding="utf-8"?>
<x:worksheet xmlns:x="http://schemas.openxmlformats.org/spreadsheetml/2006/main">
  <x:sheetViews>
    <x:sheetView showGridLines="0" workbookViewId="0"/>
  </x:sheetViews>
  <x:sheetFormatPr defaultRowHeight="15"/>
  <x:cols>
    <x:col min="1" max="1" width="30" hidden="0" customWidth="1"/>
    <x:col min="2" max="2" width="18" hidden="0" customWidth="1"/>
    <x:col min="3" max="3" width="16" hidden="0" customWidth="1"/>
    <x:col min="4" max="4" width="16" hidden="0" customWidth="1"/>
    <x:col min="5" max="5" width="18" hidden="0" customWidth="1"/>
    <x:col min="6" max="6" width="18" hidden="0" customWidth="1"/>
  </x:cols>
  <x:sheetData>
    <x:row r="1" ht="30" customHeight="1">
      <x:c r="A1" s="106" t="str">
        <x:v>IRB Credit RWA</x:v>
      </x:c>
      <x:c r="B1" s="106"/>
      <x:c r="C1" s="106"/>
      <x:c r="D1" s="106"/>
      <x:c r="E1" s="106"/>
      <x:c r="F1" s="106"/>
      <x:c r="G1" s="106"/>
      <x:c r="H1" s="106"/>
      <x:c r="I1" s="106"/>
      <x:c r="J1" s="106"/>
      <x:c r="K1" s="106"/>
      <x:c r="L1" s="106"/>
    </x:row>
    <x:row r="2" ht="24" customHeight="1">
      <x:c r="A2" s="107" t="str">
        <x:v>PD, LGD, EAD, expected loss and unexpected-loss RWA by regulatory class | INR crore</x:v>
      </x:c>
      <x:c r="B2" s="107"/>
      <x:c r="C2" s="107"/>
      <x:c r="D2" s="107"/>
      <x:c r="E2" s="107"/>
      <x:c r="F2" s="107"/>
      <x:c r="G2" s="107"/>
      <x:c r="H2" s="107"/>
      <x:c r="I2" s="107"/>
      <x:c r="J2" s="107"/>
      <x:c r="K2" s="107"/>
      <x:c r="L2" s="107"/>
    </x:row>
    <x:row r="3">
      <x:c r="A3" s="108"/>
      <x:c r="B3" s="108"/>
      <x:c r="C3" s="108"/>
      <x:c r="D3" s="108"/>
      <x:c r="E3" s="108"/>
      <x:c r="F3" s="108"/>
      <x:c r="G3" s="108"/>
      <x:c r="H3" s="108"/>
      <x:c r="I3" s="108"/>
      <x:c r="J3" s="108"/>
      <x:c r="K3" s="108"/>
      <x:c r="L3" s="108"/>
    </x:row>
    <x:row r="4" ht="30" customHeight="1">
      <x:c r="A4" s="122" t="str">
        <x:v>Basel Exposure Class</x:v>
      </x:c>
      <x:c r="B4" s="124" t="str">
        <x:v>Ead (INR crore)</x:v>
      </x:c>
      <x:c r="C4" s="124" t="str">
        <x:v>Weighted Pd</x:v>
      </x:c>
      <x:c r="D4" s="124" t="str">
        <x:v>Weighted Lgd</x:v>
      </x:c>
      <x:c r="E4" s="124" t="str">
        <x:v>Expected Loss (INR crore)</x:v>
      </x:c>
      <x:c r="F4" s="123" t="str">
        <x:v>Irb Rwa (INR crore)</x:v>
      </x:c>
      <x:c r="G4" s="108"/>
      <x:c r="H4" s="108"/>
      <x:c r="I4" s="108"/>
      <x:c r="J4" s="108"/>
      <x:c r="K4" s="108"/>
      <x:c r="L4" s="108"/>
    </x:row>
    <x:row r="5">
      <x:c r="A5" s="125" t="str">
        <x:v>Bank</x:v>
      </x:c>
      <x:c r="B5" s="127" t="n">
        <x:v>85966.04813679571</x:v>
      </x:c>
      <x:c r="C5" s="128" t="n">
        <x:v>0.0041627469</x:v>
      </x:c>
      <x:c r="D5" s="128" t="n">
        <x:v>0.4093333679</x:v>
      </x:c>
      <x:c r="E5" s="127" t="n">
        <x:v>133.74000465018094</x:v>
      </x:c>
      <x:c r="F5" s="127" t="n">
        <x:v>24798.62711637545</x:v>
      </x:c>
      <x:c r="G5" s="108"/>
      <x:c r="H5" s="108"/>
      <x:c r="I5" s="108"/>
      <x:c r="J5" s="108"/>
      <x:c r="K5" s="108"/>
      <x:c r="L5" s="108"/>
    </x:row>
    <x:row r="6">
      <x:c r="A6" s="130" t="str">
        <x:v>Corporate</x:v>
      </x:c>
      <x:c r="B6" s="132" t="n">
        <x:v>462700.5320184297</x:v>
      </x:c>
      <x:c r="C6" s="133" t="n">
        <x:v>0.0149835222</x:v>
      </x:c>
      <x:c r="D6" s="133" t="n">
        <x:v>0.7057635631</x:v>
      </x:c>
      <x:c r="E6" s="132" t="n">
        <x:v>4926.029160623198</x:v>
      </x:c>
      <x:c r="F6" s="132" t="n">
        <x:v>484224.5892909211</x:v>
      </x:c>
      <x:c r="G6" s="108"/>
      <x:c r="H6" s="108"/>
      <x:c r="I6" s="108"/>
      <x:c r="J6" s="108"/>
      <x:c r="K6" s="108"/>
      <x:c r="L6" s="108"/>
    </x:row>
    <x:row r="7">
      <x:c r="A7" s="130" t="str">
        <x:v>Corporate Sme</x:v>
      </x:c>
      <x:c r="B7" s="132" t="n">
        <x:v>28549.71908532937</x:v>
      </x:c>
      <x:c r="C7" s="133" t="n">
        <x:v>0.030840804</x:v>
      </x:c>
      <x:c r="D7" s="133" t="n">
        <x:v>0.8959864016</x:v>
      </x:c>
      <x:c r="E7" s="132" t="n">
        <x:v>788.7907145313042</x:v>
      </x:c>
      <x:c r="F7" s="132" t="n">
        <x:v>44800.56024460412</x:v>
      </x:c>
      <x:c r="G7" s="108"/>
      <x:c r="H7" s="108"/>
      <x:c r="I7" s="108"/>
      <x:c r="J7" s="108"/>
      <x:c r="K7" s="108"/>
      <x:c r="L7" s="108"/>
    </x:row>
    <x:row r="8">
      <x:c r="A8" s="130" t="str">
        <x:v>Defaulted</x:v>
      </x:c>
      <x:c r="B8" s="132" t="n">
        <x:v>8626.483206591412</x:v>
      </x:c>
      <x:c r="C8" s="133" t="n">
        <x:v>1</x:v>
      </x:c>
      <x:c r="D8" s="133" t="n">
        <x:v>0.6728266024</x:v>
      </x:c>
      <x:c r="E8" s="132" t="n">
        <x:v>5804.127386304351</x:v>
      </x:c>
      <x:c r="F8" s="132" t="n">
        <x:v>0</x:v>
      </x:c>
      <x:c r="G8" s="108"/>
      <x:c r="H8" s="108"/>
      <x:c r="I8" s="108"/>
      <x:c r="J8" s="108"/>
      <x:c r="K8" s="108"/>
      <x:c r="L8" s="108"/>
    </x:row>
    <x:row r="9">
      <x:c r="A9" s="130" t="str">
        <x:v>Other</x:v>
      </x:c>
      <x:c r="B9" s="132" t="n">
        <x:v>1275.2483142732424</x:v>
      </x:c>
      <x:c r="C9" s="133" t="n">
        <x:v>0.0195483437</x:v>
      </x:c>
      <x:c r="D9" s="133" t="n">
        <x:v>0.9888634863</x:v>
      </x:c>
      <x:c r="E9" s="132" t="n">
        <x:v>24.651370267018297</x:v>
      </x:c>
      <x:c r="F9" s="132" t="n">
        <x:v>2201.0793250398638</x:v>
      </x:c>
      <x:c r="G9" s="108"/>
      <x:c r="H9" s="108"/>
      <x:c r="I9" s="108"/>
      <x:c r="J9" s="108"/>
      <x:c r="K9" s="108"/>
      <x:c r="L9" s="108"/>
    </x:row>
    <x:row r="10">
      <x:c r="A10" s="130" t="str">
        <x:v>Regulatory Retail</x:v>
      </x:c>
      <x:c r="B10" s="132" t="n">
        <x:v>475.23306052162934</x:v>
      </x:c>
      <x:c r="C10" s="133" t="n">
        <x:v>0.0341931016</x:v>
      </x:c>
      <x:c r="D10" s="133" t="n">
        <x:v>0.9988634863</x:v>
      </x:c>
      <x:c r="E10" s="132" t="n">
        <x:v>16.231224335542773</x:v>
      </x:c>
      <x:c r="F10" s="132" t="n">
        <x:v>516.0911275685507</x:v>
      </x:c>
      <x:c r="G10" s="108"/>
      <x:c r="H10" s="108"/>
      <x:c r="I10" s="108"/>
      <x:c r="J10" s="108"/>
      <x:c r="K10" s="108"/>
      <x:c r="L10" s="108"/>
    </x:row>
    <x:row r="11">
      <x:c r="A11" s="130" t="str">
        <x:v>Residential Real Estate</x:v>
      </x:c>
      <x:c r="B11" s="132" t="n">
        <x:v>4235.829879346015</x:v>
      </x:c>
      <x:c r="C11" s="133" t="n">
        <x:v>0.0141687185</x:v>
      </x:c>
      <x:c r="D11" s="133" t="n">
        <x:v>0.2749120394</x:v>
      </x:c>
      <x:c r="E11" s="132" t="n">
        <x:v>16.42794170851161</x:v>
      </x:c>
      <x:c r="F11" s="132" t="n">
        <x:v>1267.088586600567</x:v>
      </x:c>
      <x:c r="G11" s="108"/>
      <x:c r="H11" s="108"/>
      <x:c r="I11" s="108"/>
      <x:c r="J11" s="108"/>
      <x:c r="K11" s="108"/>
      <x:c r="L11" s="108"/>
    </x:row>
    <x:row r="12">
      <x:c r="A12" s="130" t="str">
        <x:v>Retail Transactor</x:v>
      </x:c>
      <x:c r="B12" s="132" t="n">
        <x:v>17.915730026479636</x:v>
      </x:c>
      <x:c r="C12" s="133" t="n">
        <x:v>0.0397647667</x:v>
      </x:c>
      <x:c r="D12" s="133" t="n">
        <x:v>1</x:v>
      </x:c>
      <x:c r="E12" s="132" t="n">
        <x:v>0.7124148249269857</x:v>
      </x:c>
      <x:c r="F12" s="132" t="n">
        <x:v>14.430221176662805</x:v>
      </x:c>
      <x:c r="G12" s="108"/>
      <x:c r="H12" s="108"/>
      <x:c r="I12" s="108"/>
      <x:c r="J12" s="108"/>
      <x:c r="K12" s="108"/>
      <x:c r="L12" s="108"/>
    </x:row>
    <x:row r="13">
      <x:c r="A13" s="130" t="str">
        <x:v>Revolving Retail</x:v>
      </x:c>
      <x:c r="B13" s="132" t="n">
        <x:v>62.70139786595153</x:v>
      </x:c>
      <x:c r="C13" s="133" t="n">
        <x:v>0.0408034732</x:v>
      </x:c>
      <x:c r="D13" s="133" t="n">
        <x:v>1</x:v>
      </x:c>
      <x:c r="E13" s="132" t="n">
        <x:v>2.5584348064131426</x:v>
      </x:c>
      <x:c r="F13" s="132" t="n">
        <x:v>51.581198611407906</x:v>
      </x:c>
      <x:c r="G13" s="108"/>
      <x:c r="H13" s="108"/>
      <x:c r="I13" s="108"/>
      <x:c r="J13" s="108"/>
      <x:c r="K13" s="108"/>
      <x:c r="L13" s="108"/>
    </x:row>
    <x:row r="14">
      <x:c r="A14" s="135" t="str">
        <x:v>Sovereign</x:v>
      </x:c>
      <x:c r="B14" s="137" t="n">
        <x:v>139386.41947664847</x:v>
      </x:c>
      <x:c r="C14" s="136" t="n">
        <x:v>0.0003817235</x:v>
      </x:c>
      <x:c r="D14" s="136" t="n">
        <x:v>0.7621587156</x:v>
      </x:c>
      <x:c r="E14" s="137" t="n">
        <x:v>40.552232374268954</x:v>
      </x:c>
      <x:c r="F14" s="137" t="n">
        <x:v>25475.185787076643</x:v>
      </x:c>
      <x:c r="G14" s="108"/>
      <x:c r="H14" s="108"/>
      <x:c r="I14" s="108"/>
      <x:c r="J14" s="108"/>
      <x:c r="K14" s="108"/>
      <x:c r="L14" s="108"/>
    </x:row>
    <x:row r="15">
      <x:c r="A15" s="144" t="str">
        <x:v>Total IRB Credit RWA</x:v>
      </x:c>
      <x:c r="B15" s="144"/>
      <x:c r="C15" s="144"/>
      <x:c r="D15" s="144"/>
      <x:c r="E15" s="145"/>
      <x:c r="F15" s="145" t="n">
        <x:f>SUM(F5:F14)</x:f>
        <x:v>583349.2328979743</x:v>
      </x:c>
      <x:c r="G15" s="108"/>
      <x:c r="H15" s="108"/>
      <x:c r="I15" s="108"/>
      <x:c r="J15" s="108"/>
      <x:c r="K15" s="108"/>
      <x:c r="L15" s="108"/>
    </x:row>
  </x:sheetData>
  <x:mergeCells>
    <x:mergeCell ref="A1:L1"/>
    <x:mergeCell ref="A2:L2"/>
    <x:mergeCell ref="A15:E15"/>
  </x:mergeCells>
  <x:pageMargins left="0.7" right="0.7" top="0.75" bottom="0.75" header="0.3" footer="0.3"/>
  <x:tableParts count="1">
    <x:tablePart xmlns:r="http://schemas.openxmlformats.org/officeDocument/2006/relationships" r:id="R69c5d6a6e5b2477a"/>
  </x:tableParts>
</x:worksheet>
</file>

<file path=xl/worksheets/sheet5.xml><?xml version="1.0" encoding="utf-8"?>
<x:worksheet xmlns:x="http://schemas.openxmlformats.org/spreadsheetml/2006/main">
  <x:sheetViews>
    <x:sheetView showGridLines="0" workbookViewId="0"/>
  </x:sheetViews>
  <x:sheetFormatPr defaultRowHeight="15"/>
  <x:cols>
    <x:col min="1" max="1" width="34" hidden="0" customWidth="1"/>
    <x:col min="2" max="2" width="18" hidden="0" customWidth="1"/>
    <x:col min="3" max="3" width="18" hidden="0" customWidth="1"/>
    <x:col min="4" max="4" width="18" hidden="0" customWidth="1"/>
    <x:col min="5" max="5" width="18" hidden="0" customWidth="1"/>
    <x:col min="8" max="8" width="24" hidden="0" customWidth="1"/>
    <x:col min="9" max="9" width="17" hidden="0" customWidth="1"/>
    <x:col min="10" max="10" width="17" hidden="0" customWidth="1"/>
  </x:cols>
  <x:sheetData>
    <x:row r="1" ht="30" customHeight="1">
      <x:c r="A1" s="106" t="str">
        <x:v>SA versus IRB and Output Floor</x:v>
      </x:c>
      <x:c r="B1" s="106"/>
      <x:c r="C1" s="106"/>
      <x:c r="D1" s="106"/>
      <x:c r="E1" s="106"/>
      <x:c r="F1" s="106"/>
      <x:c r="G1" s="106"/>
      <x:c r="H1" s="106"/>
      <x:c r="I1" s="106"/>
      <x:c r="J1" s="106"/>
      <x:c r="K1" s="106"/>
      <x:c r="L1" s="106"/>
    </x:row>
    <x:row r="2" ht="24" customHeight="1">
      <x:c r="A2" s="107" t="str">
        <x:v>Approach comparison by class and aggregate bank-level output-floor logic</x:v>
      </x:c>
      <x:c r="B2" s="107"/>
      <x:c r="C2" s="107"/>
      <x:c r="D2" s="107"/>
      <x:c r="E2" s="107"/>
      <x:c r="F2" s="107"/>
      <x:c r="G2" s="107"/>
      <x:c r="H2" s="107"/>
      <x:c r="I2" s="107"/>
      <x:c r="J2" s="107"/>
      <x:c r="K2" s="107"/>
      <x:c r="L2" s="107"/>
    </x:row>
    <x:row r="3">
      <x:c r="A3" s="108"/>
      <x:c r="B3" s="108"/>
      <x:c r="C3" s="108"/>
      <x:c r="D3" s="108"/>
      <x:c r="E3" s="108"/>
      <x:c r="F3" s="108"/>
      <x:c r="G3" s="108"/>
      <x:c r="H3" s="108"/>
      <x:c r="I3" s="108"/>
      <x:c r="J3" s="108"/>
      <x:c r="K3" s="108"/>
      <x:c r="L3" s="108"/>
    </x:row>
    <x:row r="4" ht="30" customHeight="1">
      <x:c r="A4" s="122" t="str">
        <x:v>Exposure Class</x:v>
      </x:c>
      <x:c r="B4" s="124" t="str">
        <x:v>Sa Rwa (INR crore)</x:v>
      </x:c>
      <x:c r="C4" s="124" t="str">
        <x:v>Irb Rwa (INR crore)</x:v>
      </x:c>
      <x:c r="D4" s="124" t="str">
        <x:v>Difference (INR crore)</x:v>
      </x:c>
      <x:c r="E4" s="123" t="str">
        <x:v>Irb To Sa</x:v>
      </x:c>
      <x:c r="F4" s="108"/>
      <x:c r="G4" s="108"/>
      <x:c r="H4" s="108"/>
      <x:c r="I4" s="108"/>
      <x:c r="J4" s="108"/>
      <x:c r="K4" s="108"/>
      <x:c r="L4" s="108"/>
    </x:row>
    <x:row r="5">
      <x:c r="A5" s="125" t="str">
        <x:v>Bank</x:v>
      </x:c>
      <x:c r="B5" s="127" t="n">
        <x:v>29067.4864009404</x:v>
      </x:c>
      <x:c r="C5" s="127" t="n">
        <x:v>24798.62711637545</x:v>
      </x:c>
      <x:c r="D5" s="127" t="n">
        <x:f>C5-B5</x:f>
        <x:v>-4268.859284564951</x:v>
      </x:c>
      <x:c r="E5" s="146" t="n">
        <x:f>IF(B5=0,0,C5/B5)</x:f>
        <x:v>0.8531397168065126</x:v>
      </x:c>
      <x:c r="F5" s="108"/>
      <x:c r="G5" s="108"/>
      <x:c r="H5" s="108"/>
      <x:c r="I5" s="108"/>
      <x:c r="J5" s="108"/>
      <x:c r="K5" s="108"/>
      <x:c r="L5" s="108"/>
    </x:row>
    <x:row r="6">
      <x:c r="A6" s="130" t="str">
        <x:v>Corporate</x:v>
      </x:c>
      <x:c r="B6" s="132" t="n">
        <x:v>318593.53247924795</x:v>
      </x:c>
      <x:c r="C6" s="132" t="n">
        <x:v>484224.5892909211</x:v>
      </x:c>
      <x:c r="D6" s="132" t="n">
        <x:f>C6-B6</x:f>
        <x:v>165631.05681167316</x:v>
      </x:c>
      <x:c r="E6" s="147" t="n">
        <x:f>IF(B6=0,0,C6/B6)</x:f>
        <x:v>1.5198820438153802</x:v>
      </x:c>
      <x:c r="F6" s="108"/>
      <x:c r="G6" s="108"/>
      <x:c r="H6" s="108"/>
      <x:c r="I6" s="108"/>
      <x:c r="J6" s="108"/>
      <x:c r="K6" s="108"/>
      <x:c r="L6" s="108"/>
    </x:row>
    <x:row r="7">
      <x:c r="A7" s="130" t="str">
        <x:v>Corporate Sme</x:v>
      </x:c>
      <x:c r="B7" s="132" t="n">
        <x:v>23713.936071489585</x:v>
      </x:c>
      <x:c r="C7" s="132" t="n">
        <x:v>44800.56024460412</x:v>
      </x:c>
      <x:c r="D7" s="132" t="n">
        <x:f>C7-B7</x:f>
        <x:v>21086.62417311454</x:v>
      </x:c>
      <x:c r="E7" s="147" t="n">
        <x:f>IF(B7=0,0,C7/B7)</x:f>
        <x:v>1.889208105712414</x:v>
      </x:c>
      <x:c r="F7" s="108"/>
      <x:c r="G7" s="108"/>
      <x:c r="H7" s="108"/>
      <x:c r="I7" s="108"/>
      <x:c r="J7" s="108"/>
      <x:c r="K7" s="108"/>
      <x:c r="L7" s="108"/>
    </x:row>
    <x:row r="8">
      <x:c r="A8" s="130" t="str">
        <x:v>Defaulted</x:v>
      </x:c>
      <x:c r="B8" s="132" t="n">
        <x:v>11969.24894388547</x:v>
      </x:c>
      <x:c r="C8" s="132" t="n">
        <x:v>0</x:v>
      </x:c>
      <x:c r="D8" s="132" t="n">
        <x:f>C8-B8</x:f>
        <x:v>-11969.24894388547</x:v>
      </x:c>
      <x:c r="E8" s="147" t="n">
        <x:f>IF(B8=0,0,C8/B8)</x:f>
        <x:v>0</x:v>
      </x:c>
      <x:c r="F8" s="108"/>
      <x:c r="G8" s="108"/>
      <x:c r="H8" s="108"/>
      <x:c r="I8" s="108"/>
      <x:c r="J8" s="108"/>
      <x:c r="K8" s="108"/>
      <x:c r="L8" s="108"/>
    </x:row>
    <x:row r="9">
      <x:c r="A9" s="130" t="str">
        <x:v>Other</x:v>
      </x:c>
      <x:c r="B9" s="132" t="n">
        <x:v>1143.3294751571984</x:v>
      </x:c>
      <x:c r="C9" s="132" t="n">
        <x:v>2201.0793250398638</x:v>
      </x:c>
      <x:c r="D9" s="132" t="n">
        <x:f>C9-B9</x:f>
        <x:v>1057.7498498826653</x:v>
      </x:c>
      <x:c r="E9" s="147" t="n">
        <x:f>IF(B9=0,0,C9/B9)</x:f>
        <x:v>1.9251487632095143</x:v>
      </x:c>
      <x:c r="F9" s="108"/>
      <x:c r="G9" s="108"/>
      <x:c r="H9" s="108"/>
      <x:c r="I9" s="108"/>
      <x:c r="J9" s="108"/>
      <x:c r="K9" s="108"/>
      <x:c r="L9" s="108"/>
    </x:row>
    <x:row r="10">
      <x:c r="A10" s="130" t="str">
        <x:v>Regulatory Retail</x:v>
      </x:c>
      <x:c r="B10" s="132" t="n">
        <x:v>347.0928942833718</x:v>
      </x:c>
      <x:c r="C10" s="132" t="n">
        <x:v>516.0911275685507</x:v>
      </x:c>
      <x:c r="D10" s="132" t="n">
        <x:f>C10-B10</x:f>
        <x:v>168.99823328517897</x:v>
      </x:c>
      <x:c r="E10" s="147" t="n">
        <x:f>IF(B10=0,0,C10/B10)</x:f>
        <x:v>1.4868962634170388</x:v>
      </x:c>
      <x:c r="F10" s="108"/>
      <x:c r="G10" s="108"/>
      <x:c r="H10" s="108"/>
      <x:c r="I10" s="108"/>
      <x:c r="J10" s="108"/>
      <x:c r="K10" s="108"/>
      <x:c r="L10" s="108"/>
    </x:row>
    <x:row r="11">
      <x:c r="A11" s="130" t="str">
        <x:v>Residential Real Estate</x:v>
      </x:c>
      <x:c r="B11" s="132" t="n">
        <x:v>1416.9298770252751</x:v>
      </x:c>
      <x:c r="C11" s="132" t="n">
        <x:v>1267.088586600567</x:v>
      </x:c>
      <x:c r="D11" s="132" t="n">
        <x:f>C11-B11</x:f>
        <x:v>-149.84129042470818</x:v>
      </x:c>
      <x:c r="E11" s="147" t="n">
        <x:f>IF(B11=0,0,C11/B11)</x:f>
        <x:v>0.8942493253517335</x:v>
      </x:c>
      <x:c r="F11" s="108"/>
      <x:c r="G11" s="108"/>
      <x:c r="H11" s="108"/>
      <x:c r="I11" s="108"/>
      <x:c r="J11" s="108"/>
      <x:c r="K11" s="108"/>
      <x:c r="L11" s="108"/>
    </x:row>
    <x:row r="12">
      <x:c r="A12" s="130" t="str">
        <x:v>Retail Transactor</x:v>
      </x:c>
      <x:c r="B12" s="132" t="n">
        <x:v>7.456961655098778</x:v>
      </x:c>
      <x:c r="C12" s="132" t="n">
        <x:v>14.430221176662805</x:v>
      </x:c>
      <x:c r="D12" s="132" t="n">
        <x:f>C12-B12</x:f>
        <x:v>6.973259521564027</x:v>
      </x:c>
      <x:c r="E12" s="147" t="n">
        <x:f>IF(B12=0,0,C12/B12)</x:f>
        <x:v>1.9351341530361748</x:v>
      </x:c>
      <x:c r="F12" s="108"/>
      <x:c r="G12" s="108"/>
      <x:c r="H12" s="108"/>
      <x:c r="I12" s="108"/>
      <x:c r="J12" s="108"/>
      <x:c r="K12" s="108"/>
      <x:c r="L12" s="108"/>
    </x:row>
    <x:row r="13">
      <x:c r="A13" s="130" t="str">
        <x:v>Revolving Retail</x:v>
      </x:c>
      <x:c r="B13" s="132" t="n">
        <x:v>43.34647511042866</x:v>
      </x:c>
      <x:c r="C13" s="132" t="n">
        <x:v>51.581198611407906</x:v>
      </x:c>
      <x:c r="D13" s="132" t="n">
        <x:f>C13-B13</x:f>
        <x:v>8.234723500979243</x:v>
      </x:c>
      <x:c r="E13" s="147" t="n">
        <x:f>IF(B13=0,0,C13/B13)</x:f>
        <x:v>1.1899744668972647</x:v>
      </x:c>
      <x:c r="F13" s="108"/>
      <x:c r="G13" s="108"/>
      <x:c r="H13" s="108"/>
      <x:c r="I13" s="108"/>
      <x:c r="J13" s="108"/>
      <x:c r="K13" s="108"/>
      <x:c r="L13" s="108"/>
    </x:row>
    <x:row r="14">
      <x:c r="A14" s="135" t="str">
        <x:v>Sovereign</x:v>
      </x:c>
      <x:c r="B14" s="137" t="n">
        <x:v>19020.99985192112</x:v>
      </x:c>
      <x:c r="C14" s="137" t="n">
        <x:v>25475.185787076643</x:v>
      </x:c>
      <x:c r="D14" s="137" t="n">
        <x:f>C14-B14</x:f>
        <x:v>6454.185935155525</x:v>
      </x:c>
      <x:c r="E14" s="148" t="n">
        <x:f>IF(B14=0,0,C14/B14)</x:f>
        <x:v>1.3393189624836495</x:v>
      </x:c>
      <x:c r="F14" s="108"/>
      <x:c r="G14" s="108"/>
      <x:c r="H14" s="108"/>
      <x:c r="I14" s="108"/>
      <x:c r="J14" s="108"/>
      <x:c r="K14" s="108"/>
      <x:c r="L14" s="108"/>
    </x:row>
    <x:row r="15">
      <x:c r="A15" s="108"/>
      <x:c r="B15" s="108"/>
      <x:c r="C15" s="108"/>
      <x:c r="D15" s="108"/>
      <x:c r="E15" s="108"/>
      <x:c r="F15" s="108"/>
      <x:c r="G15" s="108"/>
      <x:c r="H15" s="108"/>
      <x:c r="I15" s="108"/>
      <x:c r="J15" s="108"/>
      <x:c r="K15" s="108"/>
      <x:c r="L15" s="108"/>
    </x:row>
    <x:row r="16" ht="22" customHeight="1">
      <x:c r="A16" s="109" t="str">
        <x:v>Aggregate output-floor calculation | INR crore except rate</x:v>
      </x:c>
      <x:c r="B16" s="109"/>
      <x:c r="C16" s="109"/>
      <x:c r="D16" s="109"/>
      <x:c r="E16" s="109"/>
      <x:c r="F16" s="108"/>
      <x:c r="G16" s="108"/>
      <x:c r="H16" s="108"/>
      <x:c r="I16" s="108"/>
      <x:c r="J16" s="108"/>
      <x:c r="K16" s="108"/>
      <x:c r="L16" s="108"/>
    </x:row>
    <x:row r="17" ht="30" customHeight="1">
      <x:c r="A17" s="122" t="str">
        <x:v>Scenario</x:v>
      </x:c>
      <x:c r="B17" s="124" t="str">
        <x:v>Metric</x:v>
      </x:c>
      <x:c r="C17" s="124" t="str">
        <x:v>Value</x:v>
      </x:c>
      <x:c r="D17" s="123" t="str">
        <x:v>Floor Binding</x:v>
      </x:c>
      <x:c r="E17" s="108"/>
      <x:c r="F17" s="108"/>
      <x:c r="G17" s="108"/>
      <x:c r="H17" s="108"/>
      <x:c r="I17" s="108"/>
      <x:c r="J17" s="108"/>
      <x:c r="K17" s="108"/>
      <x:c r="L17" s="108"/>
    </x:row>
    <x:row r="18">
      <x:c r="A18" s="125" t="str">
        <x:v>Base</x:v>
      </x:c>
      <x:c r="B18" s="125" t="str">
        <x:v>SA Credit RWA</x:v>
      </x:c>
      <x:c r="C18" s="127" t="n">
        <x:v>405323.35943071585</x:v>
      </x:c>
      <x:c r="D18" s="149" t="b">
        <x:v>0</x:v>
      </x:c>
      <x:c r="E18" s="108"/>
      <x:c r="F18" s="108"/>
      <x:c r="G18" s="108"/>
      <x:c r="H18" s="108"/>
      <x:c r="I18" s="108"/>
      <x:c r="J18" s="108"/>
      <x:c r="K18" s="108"/>
      <x:c r="L18" s="108"/>
    </x:row>
    <x:row r="19">
      <x:c r="A19" s="130" t="str">
        <x:v>Base</x:v>
      </x:c>
      <x:c r="B19" s="130" t="str">
        <x:v>IRB Credit RWA</x:v>
      </x:c>
      <x:c r="C19" s="132" t="n">
        <x:v>583349.2328979744</x:v>
      </x:c>
      <x:c r="D19" s="150" t="b">
        <x:v>0</x:v>
      </x:c>
      <x:c r="E19" s="108"/>
      <x:c r="F19" s="108"/>
      <x:c r="G19" s="108"/>
      <x:c r="H19" s="108"/>
      <x:c r="I19" s="108"/>
      <x:c r="J19" s="108"/>
      <x:c r="K19" s="108"/>
      <x:c r="L19" s="108"/>
    </x:row>
    <x:row r="20">
      <x:c r="A20" s="130" t="str">
        <x:v>Base</x:v>
      </x:c>
      <x:c r="B20" s="130" t="str">
        <x:v>Standardised Aggregate RWA Base</x:v>
      </x:c>
      <x:c r="C20" s="132" t="n">
        <x:v>430323.35943071585</x:v>
      </x:c>
      <x:c r="D20" s="150" t="b">
        <x:v>0</x:v>
      </x:c>
      <x:c r="E20" s="108"/>
      <x:c r="F20" s="108"/>
      <x:c r="G20" s="108"/>
      <x:c r="H20" s="175" t="str">
        <x:v>Exposure Class</x:v>
      </x:c>
      <x:c r="I20" s="175" t="str">
        <x:v>SA RWA / EAD</x:v>
      </x:c>
      <x:c r="J20" s="175" t="str">
        <x:v>IRB RWA / EAD</x:v>
      </x:c>
      <x:c r="K20" s="108"/>
      <x:c r="L20" s="108"/>
    </x:row>
    <x:row r="21">
      <x:c r="A21" s="130" t="str">
        <x:v>Base</x:v>
      </x:c>
      <x:c r="B21" s="130" t="str">
        <x:v>Pre-Floor Model Aggregate RWA</x:v>
      </x:c>
      <x:c r="C21" s="132" t="n">
        <x:v>608349.2328979744</x:v>
      </x:c>
      <x:c r="D21" s="150" t="b">
        <x:v>0</x:v>
      </x:c>
      <x:c r="E21" s="108"/>
      <x:c r="F21" s="108"/>
      <x:c r="G21" s="108"/>
      <x:c r="H21" s="108" t="str">
        <x:v>Bank</x:v>
      </x:c>
      <x:c r="I21" s="173" t="n">
        <x:v>0.371719958813296</x:v>
      </x:c>
      <x:c r="J21" s="173" t="n">
        <x:v>0.28847001407944206</x:v>
      </x:c>
      <x:c r="K21" s="108"/>
      <x:c r="L21" s="108"/>
    </x:row>
    <x:row r="22">
      <x:c r="A22" s="130" t="str">
        <x:v>Base</x:v>
      </x:c>
      <x:c r="B22" s="130" t="str">
        <x:v>Output-Floor Rate</x:v>
      </x:c>
      <x:c r="C22" s="133" t="n">
        <x:v>0.65</x:v>
      </x:c>
      <x:c r="D22" s="150" t="b">
        <x:v>0</x:v>
      </x:c>
      <x:c r="E22" s="108"/>
      <x:c r="F22" s="108"/>
      <x:c r="G22" s="108"/>
      <x:c r="H22" s="108" t="str">
        <x:v>Corporate</x:v>
      </x:c>
      <x:c r="I22" s="173" t="n">
        <x:v>0.7320146633223843</x:v>
      </x:c>
      <x:c r="J22" s="173" t="n">
        <x:v>1.0465183326645366</x:v>
      </x:c>
      <x:c r="K22" s="108"/>
      <x:c r="L22" s="108"/>
    </x:row>
    <x:row r="23">
      <x:c r="A23" s="130" t="str">
        <x:v>Base</x:v>
      </x:c>
      <x:c r="B23" s="130" t="str">
        <x:v>Output-Floor Amount</x:v>
      </x:c>
      <x:c r="C23" s="132" t="n">
        <x:v>279710.18362996535</x:v>
      </x:c>
      <x:c r="D23" s="150" t="b">
        <x:v>0</x:v>
      </x:c>
      <x:c r="E23" s="108"/>
      <x:c r="F23" s="108"/>
      <x:c r="G23" s="108"/>
      <x:c r="H23" s="108" t="str">
        <x:v>Corporate SME</x:v>
      </x:c>
      <x:c r="I23" s="173" t="n">
        <x:v>0.9097425170826863</x:v>
      </x:c>
      <x:c r="J23" s="173" t="n">
        <x:v>1.5692119460336633</x:v>
      </x:c>
      <x:c r="K23" s="108"/>
      <x:c r="L23" s="108"/>
    </x:row>
    <x:row r="24">
      <x:c r="A24" s="130" t="str">
        <x:v>Base</x:v>
      </x:c>
      <x:c r="B24" s="130" t="str">
        <x:v>Final Aggregate RWA</x:v>
      </x:c>
      <x:c r="C24" s="132" t="n">
        <x:v>608349.2328979744</x:v>
      </x:c>
      <x:c r="D24" s="150" t="b">
        <x:v>0</x:v>
      </x:c>
      <x:c r="E24" s="108"/>
      <x:c r="F24" s="108"/>
      <x:c r="G24" s="108"/>
      <x:c r="H24" s="108" t="str">
        <x:v>Defaulted</x:v>
      </x:c>
      <x:c r="I24" s="173" t="n">
        <x:v>1.485516047433082</x:v>
      </x:c>
      <x:c r="J24" s="173" t="n">
        <x:v>0</x:v>
      </x:c>
      <x:c r="K24" s="108"/>
      <x:c r="L24" s="108"/>
    </x:row>
    <x:row r="25">
      <x:c r="A25" s="130" t="str">
        <x:v>Base</x:v>
      </x:c>
      <x:c r="B25" s="130" t="str">
        <x:v>Floor Uplift</x:v>
      </x:c>
      <x:c r="C25" s="132" t="n">
        <x:v>0</x:v>
      </x:c>
      <x:c r="D25" s="150" t="b">
        <x:v>0</x:v>
      </x:c>
      <x:c r="E25" s="108"/>
      <x:c r="F25" s="108"/>
      <x:c r="G25" s="108"/>
      <x:c r="H25" s="108" t="str">
        <x:v>Other</x:v>
      </x:c>
      <x:c r="I25" s="173" t="n">
        <x:v>0.9786507314443488</x:v>
      </x:c>
      <x:c r="J25" s="173" t="n">
        <x:v>1.7260005760480048</x:v>
      </x:c>
      <x:c r="K25" s="108"/>
      <x:c r="L25" s="108"/>
    </x:row>
    <x:row r="26">
      <x:c r="A26" s="130" t="str">
        <x:v>Adverse</x:v>
      </x:c>
      <x:c r="B26" s="130" t="str">
        <x:v>SA Credit RWA</x:v>
      </x:c>
      <x:c r="C26" s="132" t="n">
        <x:v>438399.64940665517</x:v>
      </x:c>
      <x:c r="D26" s="150" t="b">
        <x:v>0</x:v>
      </x:c>
      <x:c r="E26" s="108"/>
      <x:c r="F26" s="108"/>
      <x:c r="G26" s="108"/>
      <x:c r="H26" s="108" t="str">
        <x:v>Regulatory retail</x:v>
      </x:c>
      <x:c r="I26" s="173" t="n">
        <x:v>0.7303635271131869</x:v>
      </x:c>
      <x:c r="J26" s="173" t="n">
        <x:v>1.0859747994006865</x:v>
      </x:c>
      <x:c r="K26" s="108"/>
      <x:c r="L26" s="108"/>
    </x:row>
    <x:row r="27">
      <x:c r="A27" s="130" t="str">
        <x:v>Adverse</x:v>
      </x:c>
      <x:c r="B27" s="130" t="str">
        <x:v>IRB Credit RWA</x:v>
      </x:c>
      <x:c r="C27" s="132" t="n">
        <x:v>769539.1397440645</x:v>
      </x:c>
      <x:c r="D27" s="150" t="b">
        <x:v>0</x:v>
      </x:c>
      <x:c r="E27" s="108"/>
      <x:c r="F27" s="108"/>
      <x:c r="G27" s="108"/>
      <x:c r="H27" s="108" t="str">
        <x:v>Residential RE</x:v>
      </x:c>
      <x:c r="I27" s="173" t="n">
        <x:v>0.33451057228106623</x:v>
      </x:c>
      <x:c r="J27" s="173" t="n">
        <x:v>0.2991358535853657</x:v>
      </x:c>
      <x:c r="K27" s="108"/>
      <x:c r="L27" s="108"/>
    </x:row>
    <x:row r="28">
      <x:c r="A28" s="130" t="str">
        <x:v>Adverse</x:v>
      </x:c>
      <x:c r="B28" s="130" t="str">
        <x:v>Standardised Aggregate RWA Base</x:v>
      </x:c>
      <x:c r="C28" s="132" t="n">
        <x:v>463399.64940665517</x:v>
      </x:c>
      <x:c r="D28" s="150" t="b">
        <x:v>0</x:v>
      </x:c>
      <x:c r="E28" s="108"/>
      <x:c r="F28" s="108"/>
      <x:c r="G28" s="108"/>
      <x:c r="H28" s="108" t="str">
        <x:v>Retail transactor</x:v>
      </x:c>
      <x:c r="I28" s="173" t="n">
        <x:v>0.44046613493181447</x:v>
      </x:c>
      <x:c r="J28" s="173" t="n">
        <x:v>0.8054498005570963</x:v>
      </x:c>
      <x:c r="K28" s="108"/>
      <x:c r="L28" s="108"/>
    </x:row>
    <x:row r="29">
      <x:c r="A29" s="130" t="str">
        <x:v>Adverse</x:v>
      </x:c>
      <x:c r="B29" s="130" t="str">
        <x:v>Pre-Floor Model Aggregate RWA</x:v>
      </x:c>
      <x:c r="C29" s="132" t="n">
        <x:v>794539.1397440645</x:v>
      </x:c>
      <x:c r="D29" s="150" t="b">
        <x:v>0</x:v>
      </x:c>
      <x:c r="E29" s="108"/>
      <x:c r="F29" s="108"/>
      <x:c r="G29" s="108"/>
      <x:c r="H29" s="108" t="str">
        <x:v>Revolving retail</x:v>
      </x:c>
      <x:c r="I29" s="173" t="n">
        <x:v>0.730582505096762</x:v>
      </x:c>
      <x:c r="J29" s="173" t="n">
        <x:v>0.8226483039769329</x:v>
      </x:c>
      <x:c r="K29" s="108"/>
      <x:c r="L29" s="108"/>
    </x:row>
    <x:row r="30">
      <x:c r="A30" s="130" t="str">
        <x:v>Adverse</x:v>
      </x:c>
      <x:c r="B30" s="130" t="str">
        <x:v>Output-Floor Rate</x:v>
      </x:c>
      <x:c r="C30" s="133" t="n">
        <x:v>0.65</x:v>
      </x:c>
      <x:c r="D30" s="150" t="b">
        <x:v>0</x:v>
      </x:c>
      <x:c r="E30" s="108"/>
      <x:c r="F30" s="108"/>
      <x:c r="G30" s="108"/>
      <x:c r="H30" s="108" t="str">
        <x:v>Sovereign</x:v>
      </x:c>
      <x:c r="I30" s="173" t="n">
        <x:v>0.13646236070442802</x:v>
      </x:c>
      <x:c r="J30" s="173" t="n">
        <x:v>0.18276662735672408</x:v>
      </x:c>
      <x:c r="K30" s="108"/>
      <x:c r="L30" s="108"/>
    </x:row>
    <x:row r="31">
      <x:c r="A31" s="130" t="str">
        <x:v>Adverse</x:v>
      </x:c>
      <x:c r="B31" s="130" t="str">
        <x:v>Output-Floor Amount</x:v>
      </x:c>
      <x:c r="C31" s="132" t="n">
        <x:v>301209.7721143259</x:v>
      </x:c>
      <x:c r="D31" s="150" t="b">
        <x:v>0</x:v>
      </x:c>
      <x:c r="E31" s="108"/>
      <x:c r="F31" s="108"/>
      <x:c r="G31" s="108"/>
      <x:c r="H31" s="108"/>
      <x:c r="I31" s="108"/>
      <x:c r="J31" s="108"/>
      <x:c r="K31" s="108"/>
      <x:c r="L31" s="108"/>
    </x:row>
    <x:row r="32">
      <x:c r="A32" s="130" t="str">
        <x:v>Adverse</x:v>
      </x:c>
      <x:c r="B32" s="130" t="str">
        <x:v>Final Aggregate RWA</x:v>
      </x:c>
      <x:c r="C32" s="132" t="n">
        <x:v>794539.1397440645</x:v>
      </x:c>
      <x:c r="D32" s="150" t="b">
        <x:v>0</x:v>
      </x:c>
      <x:c r="E32" s="108"/>
      <x:c r="F32" s="108"/>
      <x:c r="G32" s="108"/>
      <x:c r="H32" s="108"/>
      <x:c r="I32" s="108"/>
      <x:c r="J32" s="108"/>
      <x:c r="K32" s="108"/>
      <x:c r="L32" s="108"/>
    </x:row>
    <x:row r="33">
      <x:c r="A33" s="130" t="str">
        <x:v>Adverse</x:v>
      </x:c>
      <x:c r="B33" s="130" t="str">
        <x:v>Floor Uplift</x:v>
      </x:c>
      <x:c r="C33" s="132" t="n">
        <x:v>0</x:v>
      </x:c>
      <x:c r="D33" s="150" t="b">
        <x:v>0</x:v>
      </x:c>
      <x:c r="E33" s="108"/>
      <x:c r="F33" s="108"/>
      <x:c r="G33" s="108"/>
      <x:c r="H33" s="108"/>
      <x:c r="I33" s="108"/>
      <x:c r="J33" s="108"/>
      <x:c r="K33" s="108"/>
      <x:c r="L33" s="108"/>
    </x:row>
    <x:row r="34">
      <x:c r="A34" s="130" t="str">
        <x:v>Severe</x:v>
      </x:c>
      <x:c r="B34" s="130" t="str">
        <x:v>SA Credit RWA</x:v>
      </x:c>
      <x:c r="C34" s="132" t="n">
        <x:v>484304.75527870364</x:v>
      </x:c>
      <x:c r="D34" s="150" t="b">
        <x:v>0</x:v>
      </x:c>
      <x:c r="E34" s="108"/>
      <x:c r="F34" s="108"/>
      <x:c r="G34" s="108"/>
      <x:c r="H34" s="108"/>
      <x:c r="I34" s="108"/>
      <x:c r="J34" s="108"/>
      <x:c r="K34" s="108"/>
      <x:c r="L34" s="108"/>
    </x:row>
    <x:row r="35">
      <x:c r="A35" s="130" t="str">
        <x:v>Severe</x:v>
      </x:c>
      <x:c r="B35" s="130" t="str">
        <x:v>IRB Credit RWA</x:v>
      </x:c>
      <x:c r="C35" s="132" t="n">
        <x:v>988975.0971355619</x:v>
      </x:c>
      <x:c r="D35" s="150" t="b">
        <x:v>0</x:v>
      </x:c>
      <x:c r="E35" s="108"/>
      <x:c r="F35" s="108"/>
      <x:c r="G35" s="108"/>
      <x:c r="H35" s="108"/>
      <x:c r="I35" s="108"/>
      <x:c r="J35" s="108"/>
      <x:c r="K35" s="108"/>
      <x:c r="L35" s="108"/>
    </x:row>
    <x:row r="36">
      <x:c r="A36" s="130" t="str">
        <x:v>Severe</x:v>
      </x:c>
      <x:c r="B36" s="130" t="str">
        <x:v>Standardised Aggregate RWA Base</x:v>
      </x:c>
      <x:c r="C36" s="132" t="n">
        <x:v>509304.75527870364</x:v>
      </x:c>
      <x:c r="D36" s="150" t="b">
        <x:v>0</x:v>
      </x:c>
      <x:c r="E36" s="108"/>
      <x:c r="F36" s="108"/>
      <x:c r="G36" s="108"/>
      <x:c r="H36" s="108"/>
      <x:c r="I36" s="108"/>
      <x:c r="J36" s="108"/>
      <x:c r="K36" s="108"/>
      <x:c r="L36" s="108"/>
    </x:row>
    <x:row r="37">
      <x:c r="A37" s="130" t="str">
        <x:v>Severe</x:v>
      </x:c>
      <x:c r="B37" s="130" t="str">
        <x:v>Pre-Floor Model Aggregate RWA</x:v>
      </x:c>
      <x:c r="C37" s="132" t="n">
        <x:v>1013975.0971355619</x:v>
      </x:c>
      <x:c r="D37" s="150" t="b">
        <x:v>0</x:v>
      </x:c>
      <x:c r="E37" s="108"/>
      <x:c r="F37" s="108"/>
      <x:c r="G37" s="108"/>
      <x:c r="H37" s="108"/>
      <x:c r="I37" s="108"/>
      <x:c r="J37" s="108"/>
      <x:c r="K37" s="108"/>
      <x:c r="L37" s="108"/>
    </x:row>
    <x:row r="38">
      <x:c r="A38" s="130" t="str">
        <x:v>Severe</x:v>
      </x:c>
      <x:c r="B38" s="130" t="str">
        <x:v>Output-Floor Rate</x:v>
      </x:c>
      <x:c r="C38" s="133" t="n">
        <x:v>0.65</x:v>
      </x:c>
      <x:c r="D38" s="150" t="b">
        <x:v>0</x:v>
      </x:c>
      <x:c r="E38" s="108"/>
      <x:c r="F38" s="108"/>
      <x:c r="G38" s="108"/>
      <x:c r="H38" s="108"/>
      <x:c r="I38" s="108"/>
      <x:c r="J38" s="108"/>
      <x:c r="K38" s="108"/>
      <x:c r="L38" s="108"/>
    </x:row>
    <x:row r="39">
      <x:c r="A39" s="130" t="str">
        <x:v>Severe</x:v>
      </x:c>
      <x:c r="B39" s="130" t="str">
        <x:v>Output-Floor Amount</x:v>
      </x:c>
      <x:c r="C39" s="132" t="n">
        <x:v>331048.09093115735</x:v>
      </x:c>
      <x:c r="D39" s="150" t="b">
        <x:v>0</x:v>
      </x:c>
      <x:c r="E39" s="108"/>
      <x:c r="F39" s="108"/>
      <x:c r="G39" s="108"/>
      <x:c r="H39" s="108"/>
      <x:c r="I39" s="108"/>
      <x:c r="J39" s="108"/>
      <x:c r="K39" s="108"/>
      <x:c r="L39" s="108"/>
    </x:row>
    <x:row r="40">
      <x:c r="A40" s="130" t="str">
        <x:v>Severe</x:v>
      </x:c>
      <x:c r="B40" s="130" t="str">
        <x:v>Final Aggregate RWA</x:v>
      </x:c>
      <x:c r="C40" s="132" t="n">
        <x:v>1013975.0971355619</x:v>
      </x:c>
      <x:c r="D40" s="150" t="b">
        <x:v>0</x:v>
      </x:c>
      <x:c r="E40" s="108"/>
      <x:c r="F40" s="108"/>
      <x:c r="G40" s="108"/>
      <x:c r="H40" s="108"/>
      <x:c r="I40" s="108"/>
      <x:c r="J40" s="108"/>
      <x:c r="K40" s="108"/>
      <x:c r="L40" s="108"/>
    </x:row>
    <x:row r="41">
      <x:c r="A41" s="135" t="str">
        <x:v>Severe</x:v>
      </x:c>
      <x:c r="B41" s="135" t="str">
        <x:v>Floor Uplift</x:v>
      </x:c>
      <x:c r="C41" s="137" t="n">
        <x:v>0</x:v>
      </x:c>
      <x:c r="D41" s="151" t="b">
        <x:v>0</x:v>
      </x:c>
      <x:c r="E41" s="108"/>
      <x:c r="F41" s="108"/>
      <x:c r="G41" s="108"/>
      <x:c r="H41" s="108"/>
      <x:c r="I41" s="108"/>
      <x:c r="J41" s="108"/>
      <x:c r="K41" s="108"/>
      <x:c r="L41" s="108"/>
    </x:row>
  </x:sheetData>
  <x:mergeCells>
    <x:mergeCell ref="A1:L1"/>
    <x:mergeCell ref="A2:L2"/>
    <x:mergeCell ref="A16:E16"/>
  </x:mergeCells>
  <x:pageMargins left="0.7" right="0.7" top="0.75" bottom="0.75" header="0.3" footer="0.3"/>
  <x:drawing xmlns:r="http://schemas.openxmlformats.org/officeDocument/2006/relationships" r:id="R69242f51d65145ad"/>
  <x:tableParts count="2">
    <x:tablePart xmlns:r="http://schemas.openxmlformats.org/officeDocument/2006/relationships" r:id="R80e442426fdb4a0e"/>
    <x:tablePart xmlns:r="http://schemas.openxmlformats.org/officeDocument/2006/relationships" r:id="Rdc48e1e481064dc2"/>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8" hidden="0" customWidth="1"/>
    <x:col min="2" max="2" width="20" hidden="0" customWidth="1"/>
    <x:col min="3" max="3" width="20" hidden="0" customWidth="1"/>
    <x:col min="4" max="4" width="18" hidden="0" customWidth="1"/>
    <x:col min="5" max="5" width="16" hidden="0" customWidth="1"/>
    <x:col min="6" max="6" width="16" hidden="0" customWidth="1"/>
    <x:col min="7" max="7" width="20" hidden="0" customWidth="1"/>
  </x:cols>
  <x:sheetData>
    <x:row r="1" ht="30" customHeight="1">
      <x:c r="A1" s="106" t="str">
        <x:v>Concentration Risk</x:v>
      </x:c>
      <x:c r="B1" s="106"/>
      <x:c r="C1" s="106"/>
      <x:c r="D1" s="106"/>
      <x:c r="E1" s="106"/>
      <x:c r="F1" s="106"/>
      <x:c r="G1" s="106"/>
      <x:c r="H1" s="106"/>
      <x:c r="I1" s="106"/>
      <x:c r="J1" s="106"/>
      <x:c r="K1" s="106"/>
      <x:c r="L1" s="106"/>
    </x:row>
    <x:row r="2" ht="24" customHeight="1">
      <x:c r="A2" s="107" t="str">
        <x:v>Borrower, connected-group and sector concentration measures</x:v>
      </x:c>
      <x:c r="B2" s="107"/>
      <x:c r="C2" s="107"/>
      <x:c r="D2" s="107"/>
      <x:c r="E2" s="107"/>
      <x:c r="F2" s="107"/>
      <x:c r="G2" s="107"/>
      <x:c r="H2" s="107"/>
      <x:c r="I2" s="107"/>
      <x:c r="J2" s="107"/>
      <x:c r="K2" s="107"/>
      <x:c r="L2" s="107"/>
    </x:row>
    <x:row r="3">
      <x:c r="A3" s="108"/>
      <x:c r="B3" s="108"/>
      <x:c r="C3" s="108"/>
      <x:c r="D3" s="108"/>
      <x:c r="E3" s="108"/>
      <x:c r="F3" s="108"/>
      <x:c r="G3" s="108"/>
      <x:c r="H3" s="108"/>
      <x:c r="I3" s="108"/>
      <x:c r="J3" s="108"/>
      <x:c r="K3" s="108"/>
      <x:c r="L3" s="108"/>
    </x:row>
    <x:row r="4" ht="22" customHeight="1">
      <x:c r="A4" s="109" t="str">
        <x:v>Portfolio concentration indicators</x:v>
      </x:c>
      <x:c r="B4" s="109"/>
      <x:c r="C4" s="108"/>
      <x:c r="D4" s="108"/>
      <x:c r="E4" s="108"/>
      <x:c r="F4" s="108"/>
      <x:c r="G4" s="108"/>
      <x:c r="H4" s="108"/>
      <x:c r="I4" s="108"/>
      <x:c r="J4" s="108"/>
      <x:c r="K4" s="108"/>
      <x:c r="L4" s="108"/>
    </x:row>
    <x:row r="5" ht="30" customHeight="1">
      <x:c r="A5" s="122" t="str">
        <x:v>Metric</x:v>
      </x:c>
      <x:c r="B5" s="152" t="str">
        <x:v>Value</x:v>
      </x:c>
      <x:c r="C5" s="108"/>
      <x:c r="D5" s="108"/>
      <x:c r="E5" s="108"/>
      <x:c r="F5" s="108"/>
      <x:c r="G5" s="108"/>
      <x:c r="H5" s="108"/>
      <x:c r="I5" s="108"/>
      <x:c r="J5" s="108"/>
      <x:c r="K5" s="108"/>
      <x:c r="L5" s="108"/>
    </x:row>
    <x:row r="6">
      <x:c r="A6" s="125" t="str">
        <x:v>Borrower HHI</x:v>
      </x:c>
      <x:c r="B6" s="128" t="n">
        <x:v>0.0006700608</x:v>
      </x:c>
      <x:c r="C6" s="108"/>
      <x:c r="D6" s="108"/>
      <x:c r="E6" s="108"/>
      <x:c r="F6" s="108"/>
      <x:c r="G6" s="108"/>
      <x:c r="H6" s="108"/>
      <x:c r="I6" s="108"/>
      <x:c r="J6" s="108"/>
      <x:c r="K6" s="108"/>
      <x:c r="L6" s="108"/>
    </x:row>
    <x:row r="7">
      <x:c r="A7" s="130" t="str">
        <x:v>Sector HHI</x:v>
      </x:c>
      <x:c r="B7" s="133" t="n">
        <x:v>0.123869662</x:v>
      </x:c>
      <x:c r="C7" s="108"/>
      <x:c r="D7" s="108"/>
      <x:c r="E7" s="108"/>
      <x:c r="F7" s="108"/>
      <x:c r="G7" s="108"/>
      <x:c r="H7" s="108"/>
      <x:c r="I7" s="108"/>
      <x:c r="J7" s="108"/>
      <x:c r="K7" s="108"/>
      <x:c r="L7" s="108"/>
    </x:row>
    <x:row r="8">
      <x:c r="A8" s="130" t="str">
        <x:v>Top 10 borrower share</x:v>
      </x:c>
      <x:c r="B8" s="133" t="n">
        <x:v>0.0198045207</x:v>
      </x:c>
      <x:c r="C8" s="108"/>
      <x:c r="D8" s="108"/>
      <x:c r="E8" s="108"/>
      <x:c r="F8" s="108"/>
      <x:c r="G8" s="108"/>
      <x:c r="H8" s="108"/>
      <x:c r="I8" s="108"/>
      <x:c r="J8" s="108"/>
      <x:c r="K8" s="108"/>
      <x:c r="L8" s="108"/>
    </x:row>
    <x:row r="9">
      <x:c r="A9" s="130" t="str">
        <x:v>Top 20 borrower share</x:v>
      </x:c>
      <x:c r="B9" s="133" t="n">
        <x:v>0.0347362902</x:v>
      </x:c>
      <x:c r="C9" s="108"/>
      <x:c r="D9" s="108"/>
      <x:c r="E9" s="108"/>
      <x:c r="F9" s="108"/>
      <x:c r="G9" s="108"/>
      <x:c r="H9" s="108"/>
      <x:c r="I9" s="108"/>
      <x:c r="J9" s="108"/>
      <x:c r="K9" s="108"/>
      <x:c r="L9" s="108"/>
    </x:row>
    <x:row r="10">
      <x:c r="A10" s="135" t="str">
        <x:v>Top 5 sector share</x:v>
      </x:c>
      <x:c r="B10" s="136" t="n">
        <x:v>0.6371465728</x:v>
      </x:c>
      <x:c r="C10" s="108"/>
      <x:c r="D10" s="108"/>
      <x:c r="E10" s="108"/>
      <x:c r="F10" s="108"/>
      <x:c r="G10" s="108"/>
      <x:c r="H10" s="108"/>
      <x:c r="I10" s="108"/>
      <x:c r="J10" s="108"/>
      <x:c r="K10" s="108"/>
      <x:c r="L10" s="108"/>
    </x:row>
    <x:row r="11">
      <x:c r="A11" s="108"/>
      <x:c r="B11" s="108"/>
      <x:c r="C11" s="108"/>
      <x:c r="D11" s="108"/>
      <x:c r="E11" s="108"/>
      <x:c r="F11" s="108"/>
      <x:c r="G11" s="108"/>
      <x:c r="H11" s="108"/>
      <x:c r="I11" s="108"/>
      <x:c r="J11" s="108"/>
      <x:c r="K11" s="108"/>
      <x:c r="L11" s="108"/>
    </x:row>
    <x:row r="12">
      <x:c r="A12" s="108"/>
      <x:c r="B12" s="108"/>
      <x:c r="C12" s="108"/>
      <x:c r="D12" s="108"/>
      <x:c r="E12" s="108"/>
      <x:c r="F12" s="108"/>
      <x:c r="G12" s="108"/>
      <x:c r="H12" s="108"/>
      <x:c r="I12" s="108"/>
      <x:c r="J12" s="108"/>
      <x:c r="K12" s="108"/>
      <x:c r="L12" s="108"/>
    </x:row>
    <x:row r="13" ht="22" customHeight="1">
      <x:c r="A13" s="109" t="str">
        <x:v>Top borrowers by EAD</x:v>
      </x:c>
      <x:c r="B13" s="109"/>
      <x:c r="C13" s="109"/>
      <x:c r="D13" s="109"/>
      <x:c r="E13" s="109"/>
      <x:c r="F13" s="109"/>
      <x:c r="G13" s="108"/>
      <x:c r="H13" s="108"/>
      <x:c r="I13" s="108"/>
      <x:c r="J13" s="108"/>
      <x:c r="K13" s="108"/>
      <x:c r="L13" s="108"/>
    </x:row>
    <x:row r="14" ht="30" customHeight="1">
      <x:c r="A14" s="122" t="str">
        <x:v>Borrower Id</x:v>
      </x:c>
      <x:c r="B14" s="124" t="str">
        <x:v>Connected Group Id</x:v>
      </x:c>
      <x:c r="C14" s="124" t="str">
        <x:v>Ead (INR crore)</x:v>
      </x:c>
      <x:c r="D14" s="124" t="str">
        <x:v>Irb Rwa (INR crore)</x:v>
      </x:c>
      <x:c r="E14" s="124" t="str">
        <x:v>Facility Count</x:v>
      </x:c>
      <x:c r="F14" s="124" t="str">
        <x:v>Ead Share</x:v>
      </x:c>
      <x:c r="G14" s="123" t="str">
        <x:v>Cumulative Ead Share</x:v>
      </x:c>
      <x:c r="H14" s="108"/>
      <x:c r="I14" s="108"/>
      <x:c r="J14" s="108"/>
      <x:c r="K14" s="108"/>
      <x:c r="L14" s="108"/>
    </x:row>
    <x:row r="15">
      <x:c r="A15" s="125" t="str">
        <x:v>BOR-0010536</x:v>
      </x:c>
      <x:c r="B15" s="125" t="str">
        <x:v>GRP-0010536</x:v>
      </x:c>
      <x:c r="C15" s="127" t="n">
        <x:v>1825.5839400635919</x:v>
      </x:c>
      <x:c r="D15" s="127" t="n">
        <x:v>7146.312713593773</x:v>
      </x:c>
      <x:c r="E15" s="126" t="n">
        <x:v>3</x:v>
      </x:c>
      <x:c r="F15" s="128" t="n">
        <x:v>0.0026052398</x:v>
      </x:c>
      <x:c r="G15" s="128" t="n">
        <x:v>0.0026052398</x:v>
      </x:c>
      <x:c r="H15" s="108"/>
      <x:c r="I15" s="108"/>
      <x:c r="J15" s="108"/>
      <x:c r="K15" s="108"/>
      <x:c r="L15" s="108"/>
    </x:row>
    <x:row r="16">
      <x:c r="A16" s="130" t="str">
        <x:v>BOR-0028988</x:v>
      </x:c>
      <x:c r="B16" s="130" t="str">
        <x:v>GRP-0028988</x:v>
      </x:c>
      <x:c r="C16" s="132" t="n">
        <x:v>1664.611627286871</x:v>
      </x:c>
      <x:c r="D16" s="132" t="n">
        <x:v>148.27645850516606</x:v>
      </x:c>
      <x:c r="E16" s="131" t="n">
        <x:v>2</x:v>
      </x:c>
      <x:c r="F16" s="133" t="n">
        <x:v>0.0023755207</x:v>
      </x:c>
      <x:c r="G16" s="133" t="n">
        <x:v>0.0049807606</x:v>
      </x:c>
      <x:c r="H16" s="108"/>
      <x:c r="I16" s="108"/>
      <x:c r="J16" s="108"/>
      <x:c r="K16" s="108"/>
      <x:c r="L16" s="108"/>
    </x:row>
    <x:row r="17">
      <x:c r="A17" s="130" t="str">
        <x:v>BOR-0010562</x:v>
      </x:c>
      <x:c r="B17" s="130" t="str">
        <x:v>GRP-0010562</x:v>
      </x:c>
      <x:c r="C17" s="132" t="n">
        <x:v>1560.162820246262</x:v>
      </x:c>
      <x:c r="D17" s="132" t="n">
        <x:v>1464.3769196285423</x:v>
      </x:c>
      <x:c r="E17" s="131" t="n">
        <x:v>3</x:v>
      </x:c>
      <x:c r="F17" s="133" t="n">
        <x:v>0.0022264648</x:v>
      </x:c>
      <x:c r="G17" s="133" t="n">
        <x:v>0.0072072253</x:v>
      </x:c>
      <x:c r="H17" s="108"/>
      <x:c r="I17" s="108"/>
      <x:c r="J17" s="108"/>
      <x:c r="K17" s="108"/>
      <x:c r="L17" s="108"/>
    </x:row>
    <x:row r="18">
      <x:c r="A18" s="130" t="str">
        <x:v>BOR-0010365</x:v>
      </x:c>
      <x:c r="B18" s="130" t="str">
        <x:v>GRP-0010365</x:v>
      </x:c>
      <x:c r="C18" s="132" t="n">
        <x:v>1488.5001315838597</x:v>
      </x:c>
      <x:c r="D18" s="132" t="n">
        <x:v>943.5188972539318</x:v>
      </x:c>
      <x:c r="E18" s="131" t="n">
        <x:v>3</x:v>
      </x:c>
      <x:c r="F18" s="133" t="n">
        <x:v>0.0021241969</x:v>
      </x:c>
      <x:c r="G18" s="133" t="n">
        <x:v>0.0093314223</x:v>
      </x:c>
      <x:c r="H18" s="108"/>
      <x:c r="I18" s="108"/>
      <x:c r="J18" s="108"/>
      <x:c r="K18" s="108"/>
      <x:c r="L18" s="108"/>
    </x:row>
    <x:row r="19">
      <x:c r="A19" s="130" t="str">
        <x:v>BOR-0028721</x:v>
      </x:c>
      <x:c r="B19" s="130" t="str">
        <x:v>GRP-0028721</x:v>
      </x:c>
      <x:c r="C19" s="132" t="n">
        <x:v>1383.0273144935031</x:v>
      </x:c>
      <x:c r="D19" s="132" t="n">
        <x:v>115.04473247114666</x:v>
      </x:c>
      <x:c r="E19" s="131" t="n">
        <x:v>2</x:v>
      </x:c>
      <x:c r="F19" s="133" t="n">
        <x:v>0.0019736796</x:v>
      </x:c>
      <x:c r="G19" s="133" t="n">
        <x:v>0.0113051019</x:v>
      </x:c>
      <x:c r="H19" s="108"/>
      <x:c r="I19" s="108"/>
      <x:c r="J19" s="108"/>
      <x:c r="K19" s="108"/>
      <x:c r="L19" s="108"/>
    </x:row>
    <x:row r="20">
      <x:c r="A20" s="130" t="str">
        <x:v>BOR-0010405</x:v>
      </x:c>
      <x:c r="B20" s="130" t="str">
        <x:v>GRP-0010405</x:v>
      </x:c>
      <x:c r="C20" s="132" t="n">
        <x:v>1268.2170823834867</x:v>
      </x:c>
      <x:c r="D20" s="132" t="n">
        <x:v>0</x:v>
      </x:c>
      <x:c r="E20" s="131" t="n">
        <x:v>3</x:v>
      </x:c>
      <x:c r="F20" s="133" t="n">
        <x:v>0.0018098372</x:v>
      </x:c>
      <x:c r="G20" s="133" t="n">
        <x:v>0.0131149391</x:v>
      </x:c>
      <x:c r="H20" s="108"/>
      <x:c r="I20" s="108"/>
      <x:c r="J20" s="108"/>
      <x:c r="K20" s="108"/>
      <x:c r="L20" s="108"/>
    </x:row>
    <x:row r="21">
      <x:c r="A21" s="130" t="str">
        <x:v>BOR-0010142</x:v>
      </x:c>
      <x:c r="B21" s="130" t="str">
        <x:v>GRP-0010142</x:v>
      </x:c>
      <x:c r="C21" s="132" t="n">
        <x:v>1251.2597998486783</x:v>
      </x:c>
      <x:c r="D21" s="132" t="n">
        <x:v>491.650378078862</x:v>
      </x:c>
      <x:c r="E21" s="131" t="n">
        <x:v>3</x:v>
      </x:c>
      <x:c r="F21" s="133" t="n">
        <x:v>0.0017856379</x:v>
      </x:c>
      <x:c r="G21" s="133" t="n">
        <x:v>0.014900577</x:v>
      </x:c>
      <x:c r="H21" s="108"/>
      <x:c r="I21" s="108"/>
      <x:c r="J21" s="108"/>
      <x:c r="K21" s="108"/>
      <x:c r="L21" s="108"/>
    </x:row>
    <x:row r="22">
      <x:c r="A22" s="130" t="str">
        <x:v>BOR-0010265</x:v>
      </x:c>
      <x:c r="B22" s="130" t="str">
        <x:v>GRP-0010265</x:v>
      </x:c>
      <x:c r="C22" s="132" t="n">
        <x:v>1209.7821143627575</x:v>
      </x:c>
      <x:c r="D22" s="132" t="n">
        <x:v>559.7824102779567</x:v>
      </x:c>
      <x:c r="E22" s="131" t="n">
        <x:v>3</x:v>
      </x:c>
      <x:c r="F22" s="133" t="n">
        <x:v>0.0017264462</x:v>
      </x:c>
      <x:c r="G22" s="133" t="n">
        <x:v>0.0166270232</x:v>
      </x:c>
      <x:c r="H22" s="108"/>
      <x:c r="I22" s="108"/>
      <x:c r="J22" s="108"/>
      <x:c r="K22" s="108"/>
      <x:c r="L22" s="108"/>
    </x:row>
    <x:row r="23">
      <x:c r="A23" s="130" t="str">
        <x:v>BOR-0009786</x:v>
      </x:c>
      <x:c r="B23" s="130" t="str">
        <x:v>GRP-0009786</x:v>
      </x:c>
      <x:c r="C23" s="132" t="n">
        <x:v>1126.1384626058132</x:v>
      </x:c>
      <x:c r="D23" s="132" t="n">
        <x:v>203.31863104395165</x:v>
      </x:c>
      <x:c r="E23" s="131" t="n">
        <x:v>3</x:v>
      </x:c>
      <x:c r="F23" s="133" t="n">
        <x:v>0.0016070807</x:v>
      </x:c>
      <x:c r="G23" s="133" t="n">
        <x:v>0.0182341039</x:v>
      </x:c>
      <x:c r="H23" s="108"/>
      <x:c r="I23" s="108"/>
      <x:c r="J23" s="108"/>
      <x:c r="K23" s="108"/>
      <x:c r="L23" s="108"/>
    </x:row>
    <x:row r="24">
      <x:c r="A24" s="130" t="str">
        <x:v>BOR-0009862</x:v>
      </x:c>
      <x:c r="B24" s="130" t="str">
        <x:v>GRP-0009862</x:v>
      </x:c>
      <x:c r="C24" s="132" t="n">
        <x:v>1100.446750551612</x:v>
      </x:c>
      <x:c r="D24" s="132" t="n">
        <x:v>709.635567109764</x:v>
      </x:c>
      <x:c r="E24" s="131" t="n">
        <x:v>3</x:v>
      </x:c>
      <x:c r="F24" s="133" t="n">
        <x:v>0.0015704168</x:v>
      </x:c>
      <x:c r="G24" s="133" t="n">
        <x:v>0.0198045207</x:v>
      </x:c>
      <x:c r="H24" s="108"/>
      <x:c r="I24" s="108"/>
      <x:c r="J24" s="108"/>
      <x:c r="K24" s="108"/>
      <x:c r="L24" s="108"/>
    </x:row>
    <x:row r="25">
      <x:c r="A25" s="130" t="str">
        <x:v>BOR-0009868</x:v>
      </x:c>
      <x:c r="B25" s="130" t="str">
        <x:v>GRP-0009868</x:v>
      </x:c>
      <x:c r="C25" s="132" t="n">
        <x:v>1096.8247350297374</x:v>
      </x:c>
      <x:c r="D25" s="132" t="n">
        <x:v>553.9615233453375</x:v>
      </x:c>
      <x:c r="E25" s="131" t="n">
        <x:v>3</x:v>
      </x:c>
      <x:c r="F25" s="133" t="n">
        <x:v>0.0015652479</x:v>
      </x:c>
      <x:c r="G25" s="133" t="n">
        <x:v>0.0213697687</x:v>
      </x:c>
      <x:c r="H25" s="108"/>
      <x:c r="I25" s="108"/>
      <x:c r="J25" s="108"/>
      <x:c r="K25" s="108"/>
      <x:c r="L25" s="108"/>
    </x:row>
    <x:row r="26">
      <x:c r="A26" s="130" t="str">
        <x:v>BOR-0010296</x:v>
      </x:c>
      <x:c r="B26" s="130" t="str">
        <x:v>GRP-0010296</x:v>
      </x:c>
      <x:c r="C26" s="132" t="n">
        <x:v>1090.501009828129</x:v>
      </x:c>
      <x:c r="D26" s="132" t="n">
        <x:v>569.6088503649244</x:v>
      </x:c>
      <x:c r="E26" s="131" t="n">
        <x:v>3</x:v>
      </x:c>
      <x:c r="F26" s="133" t="n">
        <x:v>0.0015562235</x:v>
      </x:c>
      <x:c r="G26" s="133" t="n">
        <x:v>0.0229259922</x:v>
      </x:c>
      <x:c r="H26" s="108"/>
      <x:c r="I26" s="108"/>
      <x:c r="J26" s="108"/>
      <x:c r="K26" s="108"/>
      <x:c r="L26" s="108"/>
    </x:row>
    <x:row r="27">
      <x:c r="A27" s="130" t="str">
        <x:v>BOR-0010028</x:v>
      </x:c>
      <x:c r="B27" s="130" t="str">
        <x:v>GRP-0010028</x:v>
      </x:c>
      <x:c r="C27" s="132" t="n">
        <x:v>1084.176192226911</x:v>
      </x:c>
      <x:c r="D27" s="132" t="n">
        <x:v>1538.212300267653</x:v>
      </x:c>
      <x:c r="E27" s="131" t="n">
        <x:v>3</x:v>
      </x:c>
      <x:c r="F27" s="133" t="n">
        <x:v>0.0015471975</x:v>
      </x:c>
      <x:c r="G27" s="133" t="n">
        <x:v>0.0244731897</x:v>
      </x:c>
      <x:c r="H27" s="108"/>
      <x:c r="I27" s="108"/>
      <x:c r="J27" s="108"/>
      <x:c r="K27" s="108"/>
      <x:c r="L27" s="108"/>
    </x:row>
    <x:row r="28">
      <x:c r="A28" s="130" t="str">
        <x:v>BOR-0010589</x:v>
      </x:c>
      <x:c r="B28" s="130" t="str">
        <x:v>GRP-0010589</x:v>
      </x:c>
      <x:c r="C28" s="132" t="n">
        <x:v>1052.4966157537788</x:v>
      </x:c>
      <x:c r="D28" s="132" t="n">
        <x:v>1225.0206134714638</x:v>
      </x:c>
      <x:c r="E28" s="131" t="n">
        <x:v>3</x:v>
      </x:c>
      <x:c r="F28" s="133" t="n">
        <x:v>0.0015019885</x:v>
      </x:c>
      <x:c r="G28" s="133" t="n">
        <x:v>0.0259751782</x:v>
      </x:c>
      <x:c r="H28" s="108"/>
      <x:c r="I28" s="108"/>
      <x:c r="J28" s="108"/>
      <x:c r="K28" s="108"/>
      <x:c r="L28" s="108"/>
    </x:row>
    <x:row r="29">
      <x:c r="A29" s="130" t="str">
        <x:v>BOR-0010584</x:v>
      </x:c>
      <x:c r="B29" s="130" t="str">
        <x:v>GRP-0010584</x:v>
      </x:c>
      <x:c r="C29" s="132" t="n">
        <x:v>1052.0969604353718</x:v>
      </x:c>
      <x:c r="D29" s="132" t="n">
        <x:v>1368.5673909558625</x:v>
      </x:c>
      <x:c r="E29" s="131" t="n">
        <x:v>3</x:v>
      </x:c>
      <x:c r="F29" s="133" t="n">
        <x:v>0.0015014182</x:v>
      </x:c>
      <x:c r="G29" s="133" t="n">
        <x:v>0.0274765964</x:v>
      </x:c>
      <x:c r="H29" s="108"/>
      <x:c r="I29" s="108"/>
      <x:c r="J29" s="108"/>
      <x:c r="K29" s="108"/>
      <x:c r="L29" s="108"/>
    </x:row>
    <x:row r="30">
      <x:c r="A30" s="130" t="str">
        <x:v>BOR-0009938</x:v>
      </x:c>
      <x:c r="B30" s="130" t="str">
        <x:v>GRP-0009938</x:v>
      </x:c>
      <x:c r="C30" s="132" t="n">
        <x:v>1043.288601055507</x:v>
      </x:c>
      <x:c r="D30" s="132" t="n">
        <x:v>834.8159995188429</x:v>
      </x:c>
      <x:c r="E30" s="131" t="n">
        <x:v>3</x:v>
      </x:c>
      <x:c r="F30" s="133" t="n">
        <x:v>0.001488848</x:v>
      </x:c>
      <x:c r="G30" s="133" t="n">
        <x:v>0.0289654444</x:v>
      </x:c>
      <x:c r="H30" s="108"/>
      <x:c r="I30" s="108"/>
      <x:c r="J30" s="108"/>
      <x:c r="K30" s="108"/>
      <x:c r="L30" s="108"/>
    </x:row>
    <x:row r="31">
      <x:c r="A31" s="130" t="str">
        <x:v>BOR-0010175</x:v>
      </x:c>
      <x:c r="B31" s="130" t="str">
        <x:v>GRP-0010175</x:v>
      </x:c>
      <x:c r="C31" s="132" t="n">
        <x:v>1018.7000651482078</x:v>
      </x:c>
      <x:c r="D31" s="132" t="n">
        <x:v>513.873359767369</x:v>
      </x:c>
      <x:c r="E31" s="131" t="n">
        <x:v>3</x:v>
      </x:c>
      <x:c r="F31" s="133" t="n">
        <x:v>0.0014537584</x:v>
      </x:c>
      <x:c r="G31" s="133" t="n">
        <x:v>0.0304192028</x:v>
      </x:c>
      <x:c r="H31" s="108"/>
      <x:c r="I31" s="108"/>
      <x:c r="J31" s="108"/>
      <x:c r="K31" s="108"/>
      <x:c r="L31" s="108"/>
    </x:row>
    <x:row r="32">
      <x:c r="A32" s="130" t="str">
        <x:v>BOR-0028752</x:v>
      </x:c>
      <x:c r="B32" s="130" t="str">
        <x:v>GRP-0028752</x:v>
      </x:c>
      <x:c r="C32" s="132" t="n">
        <x:v>1012.199806020995</x:v>
      </x:c>
      <x:c r="D32" s="132" t="n">
        <x:v>135.09298823538873</x:v>
      </x:c>
      <x:c r="E32" s="131" t="n">
        <x:v>2</x:v>
      </x:c>
      <x:c r="F32" s="133" t="n">
        <x:v>0.0014444821</x:v>
      </x:c>
      <x:c r="G32" s="133" t="n">
        <x:v>0.0318636849</x:v>
      </x:c>
      <x:c r="H32" s="108"/>
      <x:c r="I32" s="108"/>
      <x:c r="J32" s="108"/>
      <x:c r="K32" s="108"/>
      <x:c r="L32" s="108"/>
    </x:row>
    <x:row r="33">
      <x:c r="A33" s="130" t="str">
        <x:v>BOR-0009774</x:v>
      </x:c>
      <x:c r="B33" s="130" t="str">
        <x:v>GRP-0009774</x:v>
      </x:c>
      <x:c r="C33" s="132" t="n">
        <x:v>1011.7325894334734</x:v>
      </x:c>
      <x:c r="D33" s="132" t="n">
        <x:v>1201.2468382079658</x:v>
      </x:c>
      <x:c r="E33" s="131" t="n">
        <x:v>3</x:v>
      </x:c>
      <x:c r="F33" s="133" t="n">
        <x:v>0.0014438153</x:v>
      </x:c>
      <x:c r="G33" s="133" t="n">
        <x:v>0.0333075002</x:v>
      </x:c>
      <x:c r="H33" s="108"/>
      <x:c r="I33" s="108"/>
      <x:c r="J33" s="108"/>
      <x:c r="K33" s="108"/>
      <x:c r="L33" s="108"/>
    </x:row>
    <x:row r="34">
      <x:c r="A34" s="135" t="str">
        <x:v>BOR-0009968</x:v>
      </x:c>
      <x:c r="B34" s="135" t="str">
        <x:v>GRP-0009968</x:v>
      </x:c>
      <x:c r="C34" s="137" t="n">
        <x:v>1001.2038298091419</x:v>
      </x:c>
      <x:c r="D34" s="137" t="n">
        <x:v>2269.371699830069</x:v>
      </x:c>
      <x:c r="E34" s="138" t="n">
        <x:v>3</x:v>
      </x:c>
      <x:c r="F34" s="136" t="n">
        <x:v>0.00142879</x:v>
      </x:c>
      <x:c r="G34" s="136" t="n">
        <x:v>0.0347362902</x:v>
      </x:c>
      <x:c r="H34" s="108"/>
      <x:c r="I34" s="108"/>
      <x:c r="J34" s="108"/>
      <x:c r="K34" s="108"/>
      <x:c r="L34" s="108"/>
    </x:row>
    <x:row r="35">
      <x:c r="A35" s="108"/>
      <x:c r="B35" s="108"/>
      <x:c r="C35" s="140"/>
      <x:c r="D35" s="140"/>
      <x:c r="E35" s="141"/>
      <x:c r="F35" s="142"/>
      <x:c r="G35" s="142"/>
      <x:c r="H35" s="108"/>
      <x:c r="I35" s="108"/>
      <x:c r="J35" s="108"/>
      <x:c r="K35" s="108"/>
      <x:c r="L35" s="108"/>
    </x:row>
    <x:row r="36">
      <x:c r="A36" s="108"/>
      <x:c r="B36" s="108"/>
      <x:c r="C36" s="140"/>
      <x:c r="D36" s="140"/>
      <x:c r="E36" s="141"/>
      <x:c r="F36" s="142"/>
      <x:c r="G36" s="142"/>
      <x:c r="H36" s="108"/>
      <x:c r="I36" s="108"/>
      <x:c r="J36" s="108"/>
      <x:c r="K36" s="108"/>
      <x:c r="L36" s="108"/>
    </x:row>
    <x:row r="37">
      <x:c r="A37" s="108"/>
      <x:c r="B37" s="108"/>
      <x:c r="C37" s="140"/>
      <x:c r="D37" s="140"/>
      <x:c r="E37" s="141"/>
      <x:c r="F37" s="142"/>
      <x:c r="G37" s="142"/>
      <x:c r="H37" s="108"/>
      <x:c r="I37" s="108"/>
      <x:c r="J37" s="108"/>
      <x:c r="K37" s="108"/>
      <x:c r="L37" s="108"/>
    </x:row>
    <x:row r="38">
      <x:c r="A38" s="108"/>
      <x:c r="B38" s="108"/>
      <x:c r="C38" s="140"/>
      <x:c r="D38" s="140"/>
      <x:c r="E38" s="141"/>
      <x:c r="F38" s="142"/>
      <x:c r="G38" s="142"/>
      <x:c r="H38" s="108"/>
      <x:c r="I38" s="108"/>
      <x:c r="J38" s="108"/>
      <x:c r="K38" s="108"/>
      <x:c r="L38" s="108"/>
    </x:row>
    <x:row r="39">
      <x:c r="A39" s="108"/>
      <x:c r="B39" s="108"/>
      <x:c r="C39" s="140"/>
      <x:c r="D39" s="140"/>
      <x:c r="E39" s="141"/>
      <x:c r="F39" s="142"/>
      <x:c r="G39" s="142"/>
      <x:c r="H39" s="108"/>
      <x:c r="I39" s="108"/>
      <x:c r="J39" s="108"/>
      <x:c r="K39" s="108"/>
      <x:c r="L39" s="108"/>
    </x:row>
    <x:row r="40">
      <x:c r="A40" s="108"/>
      <x:c r="B40" s="108"/>
      <x:c r="C40" s="140"/>
      <x:c r="D40" s="140"/>
      <x:c r="E40" s="141"/>
      <x:c r="F40" s="142"/>
      <x:c r="G40" s="142"/>
      <x:c r="H40" s="108"/>
      <x:c r="I40" s="108"/>
      <x:c r="J40" s="108"/>
      <x:c r="K40" s="108"/>
      <x:c r="L40" s="108"/>
    </x:row>
  </x:sheetData>
  <x:mergeCells>
    <x:mergeCell ref="A1:L1"/>
    <x:mergeCell ref="A2:L2"/>
    <x:mergeCell ref="A4:B4"/>
    <x:mergeCell ref="A13:F13"/>
  </x:mergeCells>
  <x:pageMargins left="0.7" right="0.7" top="0.75" bottom="0.75" header="0.3" footer="0.3"/>
  <x:tableParts count="1">
    <x:tablePart xmlns:r="http://schemas.openxmlformats.org/officeDocument/2006/relationships" r:id="R9d73d91f9fd94ec1"/>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8" hidden="0" customWidth="1"/>
    <x:col min="2" max="2" width="20" hidden="0" customWidth="1"/>
    <x:col min="3" max="3" width="14" hidden="0" customWidth="1"/>
  </x:cols>
  <x:sheetData>
    <x:row r="1" ht="30" customHeight="1">
      <x:c r="A1" s="106" t="str">
        <x:v>Period-on-Period RWA Bridge</x:v>
      </x:c>
      <x:c r="B1" s="106"/>
      <x:c r="C1" s="106"/>
      <x:c r="D1" s="106"/>
      <x:c r="E1" s="106"/>
      <x:c r="F1" s="106"/>
      <x:c r="G1" s="106"/>
      <x:c r="H1" s="106"/>
      <x:c r="I1" s="106"/>
      <x:c r="J1" s="106"/>
      <x:c r="K1" s="106"/>
      <x:c r="L1" s="106"/>
    </x:row>
    <x:row r="2" ht="24" customHeight="1">
      <x:c r="A2" s="107" t="str">
        <x:v>Deterministic driver allocation with a visible nonlinear residual | INR crore</x:v>
      </x:c>
      <x:c r="B2" s="107"/>
      <x:c r="C2" s="107"/>
      <x:c r="D2" s="107"/>
      <x:c r="E2" s="107"/>
      <x:c r="F2" s="107"/>
      <x:c r="G2" s="107"/>
      <x:c r="H2" s="107"/>
      <x:c r="I2" s="107"/>
      <x:c r="J2" s="107"/>
      <x:c r="K2" s="107"/>
      <x:c r="L2" s="107"/>
    </x:row>
    <x:row r="3">
      <x:c r="A3" s="108"/>
      <x:c r="B3" s="108"/>
      <x:c r="C3" s="108"/>
      <x:c r="D3" s="108"/>
      <x:c r="E3" s="108"/>
      <x:c r="F3" s="108"/>
      <x:c r="G3" s="108"/>
      <x:c r="H3" s="108"/>
      <x:c r="I3" s="108"/>
      <x:c r="J3" s="108"/>
      <x:c r="K3" s="108"/>
      <x:c r="L3" s="108"/>
    </x:row>
    <x:row r="4" ht="30" customHeight="1">
      <x:c r="A4" s="122" t="str">
        <x:v>Driver</x:v>
      </x:c>
      <x:c r="B4" s="124" t="str">
        <x:v>Amount (INR crore)</x:v>
      </x:c>
      <x:c r="C4" s="123" t="str">
        <x:v>Kind</x:v>
      </x:c>
      <x:c r="D4" s="108"/>
      <x:c r="E4" s="108"/>
      <x:c r="F4" s="108"/>
      <x:c r="G4" s="108"/>
      <x:c r="H4" s="108"/>
      <x:c r="I4" s="108"/>
      <x:c r="J4" s="108"/>
      <x:c r="K4" s="108"/>
      <x:c r="L4" s="108"/>
    </x:row>
    <x:row r="5">
      <x:c r="A5" s="125" t="str">
        <x:v>Prior RWA</x:v>
      </x:c>
      <x:c r="B5" s="127" t="n">
        <x:v>567772.7239439853</x:v>
      </x:c>
      <x:c r="C5" s="125" t="str">
        <x:v>total</x:v>
      </x:c>
      <x:c r="D5" s="108"/>
      <x:c r="E5" s="108"/>
      <x:c r="F5" s="108"/>
      <x:c r="G5" s="108"/>
      <x:c r="H5" s="108"/>
      <x:c r="I5" s="108"/>
      <x:c r="J5" s="108"/>
      <x:c r="K5" s="108"/>
      <x:c r="L5" s="108"/>
    </x:row>
    <x:row r="6">
      <x:c r="A6" s="130" t="str">
        <x:v>New business</x:v>
      </x:c>
      <x:c r="B6" s="132" t="n">
        <x:v>21339.619275710564</x:v>
      </x:c>
      <x:c r="C6" s="130" t="str">
        <x:v>change</x:v>
      </x:c>
      <x:c r="D6" s="108"/>
      <x:c r="E6" s="108"/>
      <x:c r="F6" s="108"/>
      <x:c r="G6" s="108"/>
      <x:c r="H6" s="108"/>
      <x:c r="I6" s="108"/>
      <x:c r="J6" s="108"/>
      <x:c r="K6" s="108"/>
      <x:c r="L6" s="108"/>
    </x:row>
    <x:row r="7">
      <x:c r="A7" s="130" t="str">
        <x:v>Run-off / repayment</x:v>
      </x:c>
      <x:c r="B7" s="132" t="n">
        <x:v>-8108.456920960321</x:v>
      </x:c>
      <x:c r="C7" s="130" t="str">
        <x:v>change</x:v>
      </x:c>
      <x:c r="D7" s="108"/>
      <x:c r="E7" s="108"/>
      <x:c r="F7" s="108"/>
      <x:c r="G7" s="108"/>
      <x:c r="H7" s="108"/>
      <x:c r="I7" s="108"/>
      <x:c r="J7" s="108"/>
      <x:c r="K7" s="108"/>
      <x:c r="L7" s="108"/>
    </x:row>
    <x:row r="8">
      <x:c r="A8" s="130" t="str">
        <x:v>EAD movement</x:v>
      </x:c>
      <x:c r="B8" s="132" t="n">
        <x:v>-271.9033130035156</x:v>
      </x:c>
      <x:c r="C8" s="130" t="str">
        <x:v>change</x:v>
      </x:c>
      <x:c r="D8" s="108"/>
      <x:c r="E8" s="108"/>
      <x:c r="F8" s="108"/>
      <x:c r="G8" s="108"/>
      <x:c r="H8" s="108"/>
      <x:c r="I8" s="108"/>
      <x:c r="J8" s="108"/>
      <x:c r="K8" s="108"/>
      <x:c r="L8" s="108"/>
    </x:row>
    <x:row r="9">
      <x:c r="A9" s="130" t="str">
        <x:v>Rating / PD migration</x:v>
      </x:c>
      <x:c r="B9" s="132" t="n">
        <x:v>25457.38734699492</x:v>
      </x:c>
      <x:c r="C9" s="130" t="str">
        <x:v>change</x:v>
      </x:c>
      <x:c r="D9" s="108"/>
      <x:c r="E9" s="108"/>
      <x:c r="F9" s="108"/>
      <x:c r="G9" s="108"/>
      <x:c r="H9" s="108"/>
      <x:c r="I9" s="108"/>
      <x:c r="J9" s="108"/>
      <x:c r="K9" s="108"/>
      <x:c r="L9" s="108"/>
    </x:row>
    <x:row r="10">
      <x:c r="A10" s="130" t="str">
        <x:v>LGD / collateral</x:v>
      </x:c>
      <x:c r="B10" s="132" t="n">
        <x:v>2750.441713050098</x:v>
      </x:c>
      <x:c r="C10" s="130" t="str">
        <x:v>change</x:v>
      </x:c>
      <x:c r="D10" s="108"/>
      <x:c r="E10" s="108"/>
      <x:c r="F10" s="108"/>
      <x:c r="G10" s="108"/>
      <x:c r="H10" s="108"/>
      <x:c r="I10" s="108"/>
      <x:c r="J10" s="108"/>
      <x:c r="K10" s="108"/>
      <x:c r="L10" s="108"/>
    </x:row>
    <x:row r="11">
      <x:c r="A11" s="130" t="str">
        <x:v>Maturity</x:v>
      </x:c>
      <x:c r="B11" s="132" t="n">
        <x:v>-25590.579147802735</x:v>
      </x:c>
      <x:c r="C11" s="130" t="str">
        <x:v>change</x:v>
      </x:c>
      <x:c r="D11" s="108"/>
      <x:c r="E11" s="108"/>
      <x:c r="F11" s="108"/>
      <x:c r="G11" s="108"/>
      <x:c r="H11" s="108"/>
      <x:c r="I11" s="108"/>
      <x:c r="J11" s="108"/>
      <x:c r="K11" s="108"/>
      <x:c r="L11" s="108"/>
    </x:row>
    <x:row r="12">
      <x:c r="A12" s="130" t="str">
        <x:v>Class / eligibility / default</x:v>
      </x:c>
      <x:c r="B12" s="132" t="n">
        <x:v>0</x:v>
      </x:c>
      <x:c r="C12" s="130" t="str">
        <x:v>change</x:v>
      </x:c>
      <x:c r="D12" s="108"/>
      <x:c r="E12" s="108"/>
      <x:c r="F12" s="108"/>
      <x:c r="G12" s="108"/>
      <x:c r="H12" s="108"/>
      <x:c r="I12" s="108"/>
      <x:c r="J12" s="108"/>
      <x:c r="K12" s="108"/>
      <x:c r="L12" s="108"/>
    </x:row>
    <x:row r="13">
      <x:c r="A13" s="135" t="str">
        <x:v>Rounding residual</x:v>
      </x:c>
      <x:c r="B13" s="137" t="n">
        <x:v>1.953125e-10</x:v>
      </x:c>
      <x:c r="C13" s="135" t="str">
        <x:v>change</x:v>
      </x:c>
      <x:c r="D13" s="108"/>
      <x:c r="E13" s="108"/>
      <x:c r="F13" s="108"/>
      <x:c r="G13" s="108"/>
      <x:c r="H13" s="108"/>
      <x:c r="I13" s="108"/>
      <x:c r="J13" s="108"/>
      <x:c r="K13" s="108"/>
      <x:c r="L13" s="108"/>
    </x:row>
    <x:row r="14">
      <x:c r="A14" s="108" t="str">
        <x:v>Current RWA</x:v>
      </x:c>
      <x:c r="B14" s="140" t="n">
        <x:v>583349.2328979744</x:v>
      </x:c>
      <x:c r="C14" s="108" t="str">
        <x:v>total</x:v>
      </x:c>
      <x:c r="D14" s="108"/>
      <x:c r="E14" s="108"/>
      <x:c r="F14" s="108"/>
      <x:c r="G14" s="108"/>
      <x:c r="H14" s="108"/>
      <x:c r="I14" s="108"/>
      <x:c r="J14" s="108"/>
      <x:c r="K14" s="108"/>
      <x:c r="L14" s="108"/>
    </x:row>
    <x:row r="15">
      <x:c r="A15" s="108"/>
      <x:c r="B15" s="140"/>
      <x:c r="C15" s="108"/>
      <x:c r="D15" s="108"/>
      <x:c r="E15" s="108"/>
      <x:c r="F15" s="108"/>
      <x:c r="G15" s="108"/>
      <x:c r="H15" s="108"/>
      <x:c r="I15" s="108"/>
      <x:c r="J15" s="108"/>
      <x:c r="K15" s="108"/>
      <x:c r="L15" s="108"/>
    </x:row>
    <x:row r="16">
      <x:c r="A16" s="153"/>
      <x:c r="B16" s="154"/>
      <x:c r="C16" s="153"/>
      <x:c r="D16" s="108"/>
      <x:c r="E16" s="108"/>
      <x:c r="F16" s="108"/>
      <x:c r="G16" s="108"/>
      <x:c r="H16" s="108"/>
      <x:c r="I16" s="108"/>
      <x:c r="J16" s="108"/>
      <x:c r="K16" s="108"/>
      <x:c r="L16" s="108"/>
    </x:row>
    <x:row r="17">
      <x:c r="A17" s="108" t="str">
        <x:v>Reconciliation difference</x:v>
      </x:c>
      <x:c r="B17" s="140" t="n">
        <x:f>B5+SUM(B6:B13)-B14</x:f>
        <x:v>1.1641532182693481e-10</x:v>
      </x:c>
      <x:c r="C17" s="108" t="str">
        <x:f>IF(ABS(B17)&lt;0.0001,"PASS","FAIL")</x:f>
        <x:v>PASS</x:v>
      </x:c>
      <x:c r="D17" s="108"/>
      <x:c r="E17" s="108"/>
      <x:c r="F17" s="108"/>
      <x:c r="G17" s="108"/>
      <x:c r="H17" s="108"/>
      <x:c r="I17" s="108"/>
      <x:c r="J17" s="108"/>
      <x:c r="K17" s="108"/>
      <x:c r="L17" s="108"/>
    </x:row>
    <x:row r="18">
      <x:c r="A18" s="108"/>
      <x:c r="B18" s="140"/>
      <x:c r="C18" s="108"/>
      <x:c r="D18" s="108"/>
      <x:c r="E18" s="108"/>
      <x:c r="F18" s="108"/>
      <x:c r="G18" s="108"/>
      <x:c r="H18" s="108"/>
      <x:c r="I18" s="108"/>
      <x:c r="J18" s="108"/>
      <x:c r="K18" s="108"/>
      <x:c r="L18" s="108"/>
    </x:row>
    <x:row r="19">
      <x:c r="A19" s="108"/>
      <x:c r="B19" s="140"/>
      <x:c r="C19" s="108"/>
      <x:c r="D19" s="108"/>
      <x:c r="E19" s="108"/>
      <x:c r="F19" s="108"/>
      <x:c r="G19" s="108"/>
      <x:c r="H19" s="108"/>
      <x:c r="I19" s="108"/>
      <x:c r="J19" s="108"/>
      <x:c r="K19" s="108"/>
      <x:c r="L19" s="108"/>
    </x:row>
    <x:row r="20">
      <x:c r="A20" s="108"/>
      <x:c r="B20" s="140"/>
      <x:c r="C20" s="108"/>
      <x:c r="D20" s="108"/>
      <x:c r="E20" s="108"/>
      <x:c r="F20" s="108"/>
      <x:c r="G20" s="108"/>
      <x:c r="H20" s="108"/>
      <x:c r="I20" s="108"/>
      <x:c r="J20" s="108"/>
      <x:c r="K20" s="108"/>
      <x:c r="L20" s="108"/>
    </x:row>
  </x:sheetData>
  <x:mergeCells>
    <x:mergeCell ref="A1:L1"/>
    <x:mergeCell ref="A2:L2"/>
  </x:mergeCells>
  <x:pageMargins left="0.7" right="0.7" top="0.75" bottom="0.75" header="0.3" footer="0.3"/>
  <x:drawing xmlns:r="http://schemas.openxmlformats.org/officeDocument/2006/relationships" r:id="Rd93b33d6cc3347ab"/>
  <x:tableParts count="1">
    <x:tablePart xmlns:r="http://schemas.openxmlformats.org/officeDocument/2006/relationships" r:id="Raf49f137c8054845"/>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18" hidden="0" customWidth="1"/>
    <x:col min="4" max="4" width="18" hidden="0" customWidth="1"/>
    <x:col min="5" max="5" width="18" hidden="0" customWidth="1"/>
    <x:col min="6" max="6" width="18" hidden="0" customWidth="1"/>
    <x:col min="7" max="7" width="14" hidden="0" customWidth="1"/>
    <x:col min="8" max="8" width="18" hidden="0" customWidth="1"/>
  </x:cols>
  <x:sheetData>
    <x:row r="1" ht="30" customHeight="1">
      <x:c r="A1" s="106" t="str">
        <x:v>Credit Stress Testing</x:v>
      </x:c>
      <x:c r="B1" s="106"/>
      <x:c r="C1" s="106"/>
      <x:c r="D1" s="106"/>
      <x:c r="E1" s="106"/>
      <x:c r="F1" s="106"/>
      <x:c r="G1" s="106"/>
      <x:c r="H1" s="106"/>
      <x:c r="I1" s="106"/>
      <x:c r="J1" s="106"/>
      <x:c r="K1" s="106"/>
      <x:c r="L1" s="106"/>
    </x:row>
    <x:row r="2" ht="24" customHeight="1">
      <x:c r="A2" s="107" t="str">
        <x:v>Base, adverse and severe credit transmission through EAD, RWA, loss and output floor | INR crore</x:v>
      </x:c>
      <x:c r="B2" s="107"/>
      <x:c r="C2" s="107"/>
      <x:c r="D2" s="107"/>
      <x:c r="E2" s="107"/>
      <x:c r="F2" s="107"/>
      <x:c r="G2" s="107"/>
      <x:c r="H2" s="107"/>
      <x:c r="I2" s="107"/>
      <x:c r="J2" s="107"/>
      <x:c r="K2" s="107"/>
      <x:c r="L2" s="107"/>
    </x:row>
    <x:row r="3">
      <x:c r="A3" s="108"/>
      <x:c r="B3" s="108"/>
      <x:c r="C3" s="108"/>
      <x:c r="D3" s="108"/>
      <x:c r="E3" s="108"/>
      <x:c r="F3" s="108"/>
      <x:c r="G3" s="108"/>
      <x:c r="H3" s="108"/>
      <x:c r="I3" s="108"/>
      <x:c r="J3" s="108"/>
      <x:c r="K3" s="108"/>
      <x:c r="L3" s="108"/>
    </x:row>
    <x:row r="4" ht="30" customHeight="1">
      <x:c r="A4" s="122" t="str">
        <x:v>Scenario</x:v>
      </x:c>
      <x:c r="B4" s="124" t="str">
        <x:v>Ead (INR crore)</x:v>
      </x:c>
      <x:c r="C4" s="124" t="str">
        <x:v>Sa Credit Rwa (INR crore)</x:v>
      </x:c>
      <x:c r="D4" s="124" t="str">
        <x:v>Irb Credit Rwa (INR crore)</x:v>
      </x:c>
      <x:c r="E4" s="124" t="str">
        <x:v>Expected Loss (INR crore)</x:v>
      </x:c>
      <x:c r="F4" s="124" t="str">
        <x:v>Final Total Rwa (INR crore)</x:v>
      </x:c>
      <x:c r="G4" s="124" t="str">
        <x:v>Floor Binding</x:v>
      </x:c>
      <x:c r="H4" s="123" t="str">
        <x:v>Stress Loss (INR crore)</x:v>
      </x:c>
      <x:c r="I4" s="108"/>
      <x:c r="J4" s="108"/>
      <x:c r="K4" s="108"/>
      <x:c r="L4" s="108"/>
    </x:row>
    <x:row r="5">
      <x:c r="A5" s="125" t="str">
        <x:v>Base</x:v>
      </x:c>
      <x:c r="B5" s="127" t="n">
        <x:v>700735.4648341014</x:v>
      </x:c>
      <x:c r="C5" s="127" t="n">
        <x:v>405323.35943071585</x:v>
      </x:c>
      <x:c r="D5" s="127" t="n">
        <x:v>583349.2328979744</x:v>
      </x:c>
      <x:c r="E5" s="127" t="n">
        <x:v>11753.820884425715</x:v>
      </x:c>
      <x:c r="F5" s="127" t="n">
        <x:v>608349.2328979744</x:v>
      </x:c>
      <x:c r="G5" s="149" t="b">
        <x:v>0</x:v>
      </x:c>
      <x:c r="H5" s="127" t="n">
        <x:v>0</x:v>
      </x:c>
      <x:c r="I5" s="108"/>
      <x:c r="J5" s="108"/>
      <x:c r="K5" s="108"/>
      <x:c r="L5" s="108"/>
    </x:row>
    <x:row r="6">
      <x:c r="A6" s="130" t="str">
        <x:v>Adverse</x:v>
      </x:c>
      <x:c r="B6" s="132" t="n">
        <x:v>746518.2834362584</x:v>
      </x:c>
      <x:c r="C6" s="132" t="n">
        <x:v>438399.64940665517</x:v>
      </x:c>
      <x:c r="D6" s="132" t="n">
        <x:v>769539.1397440645</x:v>
      </x:c>
      <x:c r="E6" s="132" t="n">
        <x:v>16773.18307234278</x:v>
      </x:c>
      <x:c r="F6" s="132" t="n">
        <x:v>794539.1397440645</x:v>
      </x:c>
      <x:c r="G6" s="150" t="b">
        <x:v>0</x:v>
      </x:c>
      <x:c r="H6" s="132" t="n">
        <x:v>8958.219401235103</x:v>
      </x:c>
      <x:c r="I6" s="108"/>
      <x:c r="J6" s="108"/>
      <x:c r="K6" s="108"/>
      <x:c r="L6" s="108"/>
    </x:row>
    <x:row r="7">
      <x:c r="A7" s="135" t="str">
        <x:v>Severe</x:v>
      </x:c>
      <x:c r="B7" s="137" t="n">
        <x:v>810207.1969571185</x:v>
      </x:c>
      <x:c r="C7" s="137" t="n">
        <x:v>484304.75527870364</x:v>
      </x:c>
      <x:c r="D7" s="137" t="n">
        <x:v>988975.0971355619</x:v>
      </x:c>
      <x:c r="E7" s="137" t="n">
        <x:v>24945.246357225224</x:v>
      </x:c>
      <x:c r="F7" s="137" t="n">
        <x:v>1013975.0971355619</x:v>
      </x:c>
      <x:c r="G7" s="151" t="b">
        <x:v>0</x:v>
      </x:c>
      <x:c r="H7" s="137" t="n">
        <x:v>24306.21590871355</x:v>
      </x:c>
      <x:c r="I7" s="108"/>
      <x:c r="J7" s="108"/>
      <x:c r="K7" s="108"/>
      <x:c r="L7" s="108"/>
    </x:row>
    <x:row r="8">
      <x:c r="A8" s="108"/>
      <x:c r="B8" s="140"/>
      <x:c r="C8" s="140"/>
      <x:c r="D8" s="140"/>
      <x:c r="E8" s="140"/>
      <x:c r="F8" s="140"/>
      <x:c r="G8" s="108"/>
      <x:c r="H8" s="140"/>
      <x:c r="I8" s="108"/>
      <x:c r="J8" s="108"/>
      <x:c r="K8" s="108"/>
      <x:c r="L8" s="108"/>
    </x:row>
    <x:row r="9" ht="28" customHeight="1">
      <x:c r="A9" s="155" t="str">
        <x:v>Scenario multipliers, add-ons, collateral shocks, utilisation shocks and loss rates are synthetic sensitivities, not Basel-prescribed values.</x:v>
      </x:c>
      <x:c r="B9" s="155"/>
      <x:c r="C9" s="155"/>
      <x:c r="D9" s="155"/>
      <x:c r="E9" s="155"/>
      <x:c r="F9" s="155"/>
      <x:c r="G9" s="155"/>
      <x:c r="H9" s="155"/>
      <x:c r="I9" s="108"/>
      <x:c r="J9" s="108"/>
      <x:c r="K9" s="108"/>
      <x:c r="L9" s="108"/>
    </x:row>
    <x:row r="10">
      <x:c r="A10" s="108"/>
      <x:c r="B10" s="108"/>
      <x:c r="C10" s="108"/>
      <x:c r="D10" s="108"/>
      <x:c r="E10" s="108"/>
      <x:c r="F10" s="108"/>
      <x:c r="G10" s="108"/>
      <x:c r="H10" s="108"/>
      <x:c r="I10" s="108"/>
      <x:c r="J10" s="108"/>
      <x:c r="K10" s="108"/>
      <x:c r="L10" s="108"/>
    </x:row>
    <x:row r="11" ht="22" customHeight="1">
      <x:c r="A11" s="109" t="str">
        <x:v>Severe-stress sector contribution</x:v>
      </x:c>
      <x:c r="B11" s="109"/>
      <x:c r="C11" s="109"/>
      <x:c r="D11" s="109"/>
      <x:c r="E11" s="109"/>
      <x:c r="F11" s="108"/>
      <x:c r="G11" s="108"/>
      <x:c r="H11" s="108"/>
      <x:c r="I11" s="108"/>
      <x:c r="J11" s="108"/>
      <x:c r="K11" s="108"/>
      <x:c r="L11" s="108"/>
    </x:row>
    <x:row r="12" ht="30" customHeight="1">
      <x:c r="A12" s="122" t="str">
        <x:v>Sector</x:v>
      </x:c>
      <x:c r="B12" s="124" t="str">
        <x:v>Base Rwa (INR crore)</x:v>
      </x:c>
      <x:c r="C12" s="124" t="str">
        <x:v>Stressed Rwa (INR crore)</x:v>
      </x:c>
      <x:c r="D12" s="124" t="str">
        <x:v>Rwa Increase (INR crore)</x:v>
      </x:c>
      <x:c r="E12" s="123" t="str">
        <x:v>Contribution Share</x:v>
      </x:c>
      <x:c r="F12" s="108"/>
      <x:c r="G12" s="108"/>
      <x:c r="H12" s="108"/>
      <x:c r="I12" s="108"/>
      <x:c r="J12" s="108"/>
      <x:c r="K12" s="108"/>
      <x:c r="L12" s="108"/>
    </x:row>
    <x:row r="13">
      <x:c r="A13" s="125" t="str">
        <x:v>Auto Components</x:v>
      </x:c>
      <x:c r="B13" s="127" t="n">
        <x:v>57473.77884345482</x:v>
      </x:c>
      <x:c r="C13" s="127" t="n">
        <x:v>108367.17015109496</x:v>
      </x:c>
      <x:c r="D13" s="127" t="n">
        <x:v>50893.39130764015</x:v>
      </x:c>
      <x:c r="E13" s="128" t="n">
        <x:v>0.1254688022</x:v>
      </x:c>
      <x:c r="F13" s="108"/>
      <x:c r="G13" s="108"/>
      <x:c r="H13" s="108"/>
      <x:c r="I13" s="108"/>
      <x:c r="J13" s="108"/>
      <x:c r="K13" s="108"/>
      <x:c r="L13" s="108"/>
    </x:row>
    <x:row r="14">
      <x:c r="A14" s="130" t="str">
        <x:v>Real Estate</x:v>
      </x:c>
      <x:c r="B14" s="132" t="n">
        <x:v>58473.76140144328</x:v>
      </x:c>
      <x:c r="C14" s="132" t="n">
        <x:v>108095.46170223912</x:v>
      </x:c>
      <x:c r="D14" s="132" t="n">
        <x:v>49621.70030079584</x:v>
      </x:c>
      <x:c r="E14" s="133" t="n">
        <x:v>0.1223336692</x:v>
      </x:c>
      <x:c r="F14" s="108"/>
      <x:c r="G14" s="108"/>
      <x:c r="H14" s="108"/>
      <x:c r="I14" s="108"/>
      <x:c r="J14" s="108"/>
      <x:c r="K14" s="108"/>
      <x:c r="L14" s="108"/>
    </x:row>
    <x:row r="15">
      <x:c r="A15" s="130" t="str">
        <x:v>Financial Services</x:v>
      </x:c>
      <x:c r="B15" s="132" t="n">
        <x:v>88125.88688061282</x:v>
      </x:c>
      <x:c r="C15" s="132" t="n">
        <x:v>137137.50013677005</x:v>
      </x:c>
      <x:c r="D15" s="132" t="n">
        <x:v>49011.61325615722</x:v>
      </x:c>
      <x:c r="E15" s="133" t="n">
        <x:v>0.1208296057</x:v>
      </x:c>
      <x:c r="F15" s="108"/>
      <x:c r="G15" s="108"/>
      <x:c r="H15" s="108"/>
      <x:c r="I15" s="108"/>
      <x:c r="J15" s="108"/>
      <x:c r="K15" s="108"/>
      <x:c r="L15" s="108"/>
    </x:row>
    <x:row r="16">
      <x:c r="A16" s="130" t="str">
        <x:v>Textiles</x:v>
      </x:c>
      <x:c r="B16" s="132" t="n">
        <x:v>53961.88452084408</x:v>
      </x:c>
      <x:c r="C16" s="132" t="n">
        <x:v>98940.25225183554</x:v>
      </x:c>
      <x:c r="D16" s="132" t="n">
        <x:v>44978.367730991464</x:v>
      </x:c>
      <x:c r="E16" s="133" t="n">
        <x:v>0.1108863406</x:v>
      </x:c>
      <x:c r="F16" s="108"/>
      <x:c r="G16" s="108"/>
      <x:c r="H16" s="108"/>
      <x:c r="I16" s="108"/>
      <x:c r="J16" s="108"/>
      <x:c r="K16" s="108"/>
      <x:c r="L16" s="108"/>
    </x:row>
    <x:row r="17">
      <x:c r="A17" s="130" t="str">
        <x:v>Consumer</x:v>
      </x:c>
      <x:c r="B17" s="132" t="n">
        <x:v>73791.51077494054</x:v>
      </x:c>
      <x:c r="C17" s="132" t="n">
        <x:v>115536.355031253</x:v>
      </x:c>
      <x:c r="D17" s="132" t="n">
        <x:v>41744.84425631246</x:v>
      </x:c>
      <x:c r="E17" s="133" t="n">
        <x:v>0.102914651</x:v>
      </x:c>
      <x:c r="F17" s="108"/>
      <x:c r="G17" s="108"/>
      <x:c r="H17" s="108"/>
      <x:c r="I17" s="108"/>
      <x:c r="J17" s="108"/>
      <x:c r="K17" s="108"/>
      <x:c r="L17" s="108"/>
    </x:row>
    <x:row r="18">
      <x:c r="A18" s="130" t="str">
        <x:v>Metals</x:v>
      </x:c>
      <x:c r="B18" s="132" t="n">
        <x:v>56226.87272523917</x:v>
      </x:c>
      <x:c r="C18" s="132" t="n">
        <x:v>96588.10109677126</x:v>
      </x:c>
      <x:c r="D18" s="132" t="n">
        <x:v>40361.228371532095</x:v>
      </x:c>
      <x:c r="E18" s="133" t="n">
        <x:v>0.0995035868</x:v>
      </x:c>
      <x:c r="F18" s="108"/>
      <x:c r="G18" s="108"/>
      <x:c r="H18" s="108"/>
      <x:c r="I18" s="108"/>
      <x:c r="J18" s="108"/>
      <x:c r="K18" s="108"/>
      <x:c r="L18" s="108"/>
    </x:row>
    <x:row r="19">
      <x:c r="A19" s="130" t="str">
        <x:v>Healthcare</x:v>
      </x:c>
      <x:c r="B19" s="132" t="n">
        <x:v>68681.83827448396</x:v>
      </x:c>
      <x:c r="C19" s="132" t="n">
        <x:v>108919.5570170735</x:v>
      </x:c>
      <x:c r="D19" s="132" t="n">
        <x:v>40237.71874258954</x:v>
      </x:c>
      <x:c r="E19" s="133" t="n">
        <x:v>0.0991990953</x:v>
      </x:c>
      <x:c r="F19" s="108"/>
      <x:c r="G19" s="108"/>
      <x:c r="H19" s="108"/>
      <x:c r="I19" s="108"/>
      <x:c r="J19" s="108"/>
      <x:c r="K19" s="108"/>
      <x:c r="L19" s="108"/>
    </x:row>
    <x:row r="20">
      <x:c r="A20" s="130" t="str">
        <x:v>Construction</x:v>
      </x:c>
      <x:c r="B20" s="132" t="n">
        <x:v>50542.276874128765</x:v>
      </x:c>
      <x:c r="C20" s="132" t="n">
        <x:v>90777.53565876148</x:v>
      </x:c>
      <x:c r="D20" s="132" t="n">
        <x:v>40235.25878463272</x:v>
      </x:c>
      <x:c r="E20" s="133" t="n">
        <x:v>0.0991930307</x:v>
      </x:c>
      <x:c r="F20" s="108"/>
      <x:c r="G20" s="108"/>
      <x:c r="H20" s="108"/>
      <x:c r="I20" s="108"/>
      <x:c r="J20" s="108"/>
      <x:c r="K20" s="108"/>
      <x:c r="L20" s="108"/>
    </x:row>
    <x:row r="21">
      <x:c r="A21" s="130" t="str">
        <x:v>IT Services</x:v>
      </x:c>
      <x:c r="B21" s="132" t="n">
        <x:v>48747.04568179307</x:v>
      </x:c>
      <x:c r="C21" s="132" t="n">
        <x:v>78247.05809274894</x:v>
      </x:c>
      <x:c r="D21" s="132" t="n">
        <x:v>29500.01241095587</x:v>
      </x:c>
      <x:c r="E21" s="133" t="n">
        <x:v>0.0727271484</x:v>
      </x:c>
      <x:c r="F21" s="108"/>
      <x:c r="G21" s="108"/>
      <x:c r="H21" s="108"/>
      <x:c r="I21" s="108"/>
      <x:c r="J21" s="108"/>
      <x:c r="K21" s="108"/>
      <x:c r="L21" s="108"/>
    </x:row>
    <x:row r="22">
      <x:c r="A22" s="130" t="str">
        <x:v>Government</x:v>
      </x:c>
      <x:c r="B22" s="132" t="n">
        <x:v>25475.185787076643</x:v>
      </x:c>
      <x:c r="C22" s="132" t="n">
        <x:v>41761.60311356732</x:v>
      </x:c>
      <x:c r="D22" s="132" t="n">
        <x:v>16286.417326490673</x:v>
      </x:c>
      <x:c r="E22" s="133" t="n">
        <x:v>0.0401513285</x:v>
      </x:c>
      <x:c r="F22" s="108"/>
      <x:c r="G22" s="108"/>
      <x:c r="H22" s="108"/>
      <x:c r="I22" s="108"/>
      <x:c r="J22" s="108"/>
      <x:c r="K22" s="108"/>
      <x:c r="L22" s="108"/>
    </x:row>
    <x:row r="23">
      <x:c r="A23" s="135" t="str">
        <x:v>Households</x:v>
      </x:c>
      <x:c r="B23" s="137" t="n">
        <x:v>1849.1911339571884</x:v>
      </x:c>
      <x:c r="C23" s="137" t="n">
        <x:v>4604.502883446744</x:v>
      </x:c>
      <x:c r="D23" s="137" t="n">
        <x:v>2755.3117494895555</x:v>
      </x:c>
      <x:c r="E23" s="136" t="n">
        <x:v>0.0067927418</x:v>
      </x:c>
      <x:c r="F23" s="108"/>
      <x:c r="G23" s="108"/>
      <x:c r="H23" s="108"/>
      <x:c r="I23" s="108"/>
      <x:c r="J23" s="108"/>
      <x:c r="K23" s="108"/>
      <x:c r="L23" s="108"/>
    </x:row>
    <x:row r="24">
      <x:c r="A24" s="108"/>
      <x:c r="B24" s="140"/>
      <x:c r="C24" s="140"/>
      <x:c r="D24" s="140"/>
      <x:c r="E24" s="142"/>
      <x:c r="F24" s="108"/>
      <x:c r="G24" s="108"/>
      <x:c r="H24" s="108"/>
      <x:c r="I24" s="108"/>
      <x:c r="J24" s="108"/>
      <x:c r="K24" s="108"/>
      <x:c r="L24" s="108"/>
    </x:row>
    <x:row r="25">
      <x:c r="A25" s="108"/>
      <x:c r="B25" s="140"/>
      <x:c r="C25" s="140"/>
      <x:c r="D25" s="140"/>
      <x:c r="E25" s="142"/>
      <x:c r="F25" s="108"/>
      <x:c r="G25" s="108"/>
      <x:c r="H25" s="108"/>
      <x:c r="I25" s="108"/>
      <x:c r="J25" s="108"/>
      <x:c r="K25" s="108"/>
      <x:c r="L25" s="108"/>
    </x:row>
    <x:row r="26">
      <x:c r="A26" s="108"/>
      <x:c r="B26" s="140"/>
      <x:c r="C26" s="140"/>
      <x:c r="D26" s="140"/>
      <x:c r="E26" s="142"/>
      <x:c r="F26" s="108"/>
      <x:c r="G26" s="108"/>
      <x:c r="H26" s="108"/>
      <x:c r="I26" s="108"/>
      <x:c r="J26" s="108"/>
      <x:c r="K26" s="108"/>
      <x:c r="L26" s="108"/>
    </x:row>
    <x:row r="27">
      <x:c r="A27" s="108"/>
      <x:c r="B27" s="140"/>
      <x:c r="C27" s="140"/>
      <x:c r="D27" s="140"/>
      <x:c r="E27" s="142"/>
      <x:c r="F27" s="108"/>
      <x:c r="G27" s="108"/>
      <x:c r="H27" s="108"/>
      <x:c r="I27" s="108"/>
      <x:c r="J27" s="108"/>
      <x:c r="K27" s="108"/>
      <x:c r="L27" s="108"/>
    </x:row>
    <x:row r="28">
      <x:c r="A28" s="108"/>
      <x:c r="B28" s="140"/>
      <x:c r="C28" s="140"/>
      <x:c r="D28" s="140"/>
      <x:c r="E28" s="142"/>
      <x:c r="F28" s="108"/>
      <x:c r="G28" s="108"/>
      <x:c r="H28" s="108"/>
      <x:c r="I28" s="108"/>
      <x:c r="J28" s="108"/>
      <x:c r="K28" s="108"/>
      <x:c r="L28" s="108"/>
    </x:row>
    <x:row r="29">
      <x:c r="A29" s="108"/>
      <x:c r="B29" s="140"/>
      <x:c r="C29" s="140"/>
      <x:c r="D29" s="140"/>
      <x:c r="E29" s="142"/>
      <x:c r="F29" s="108"/>
      <x:c r="G29" s="108"/>
      <x:c r="H29" s="108"/>
      <x:c r="I29" s="108"/>
      <x:c r="J29" s="108"/>
      <x:c r="K29" s="108"/>
      <x:c r="L29" s="108"/>
    </x:row>
    <x:row r="30">
      <x:c r="A30" s="108"/>
      <x:c r="B30" s="140"/>
      <x:c r="C30" s="140"/>
      <x:c r="D30" s="140"/>
      <x:c r="E30" s="142"/>
      <x:c r="F30" s="108"/>
      <x:c r="G30" s="108"/>
      <x:c r="H30" s="108"/>
      <x:c r="I30" s="108"/>
      <x:c r="J30" s="108"/>
      <x:c r="K30" s="108"/>
      <x:c r="L30" s="108"/>
    </x:row>
    <x:row r="31">
      <x:c r="A31" s="108"/>
      <x:c r="B31" s="140"/>
      <x:c r="C31" s="140"/>
      <x:c r="D31" s="140"/>
      <x:c r="E31" s="142"/>
      <x:c r="F31" s="108"/>
      <x:c r="G31" s="108"/>
      <x:c r="H31" s="108"/>
      <x:c r="I31" s="108"/>
      <x:c r="J31" s="108"/>
      <x:c r="K31" s="108"/>
      <x:c r="L31" s="108"/>
    </x:row>
    <x:row r="32">
      <x:c r="A32" s="108"/>
      <x:c r="B32" s="140"/>
      <x:c r="C32" s="140"/>
      <x:c r="D32" s="140"/>
      <x:c r="E32" s="142"/>
      <x:c r="F32" s="108"/>
      <x:c r="G32" s="108"/>
      <x:c r="H32" s="108"/>
      <x:c r="I32" s="108"/>
      <x:c r="J32" s="108"/>
      <x:c r="K32" s="108"/>
      <x:c r="L32" s="108"/>
    </x:row>
    <x:row r="33">
      <x:c r="A33" s="108"/>
      <x:c r="B33" s="140"/>
      <x:c r="C33" s="140"/>
      <x:c r="D33" s="140"/>
      <x:c r="E33" s="142"/>
      <x:c r="F33" s="108"/>
      <x:c r="G33" s="108"/>
      <x:c r="H33" s="108"/>
      <x:c r="I33" s="108"/>
      <x:c r="J33" s="108"/>
      <x:c r="K33" s="108"/>
      <x:c r="L33" s="108"/>
    </x:row>
    <x:row r="34">
      <x:c r="A34" s="108"/>
      <x:c r="B34" s="140"/>
      <x:c r="C34" s="140"/>
      <x:c r="D34" s="140"/>
      <x:c r="E34" s="142"/>
      <x:c r="F34" s="108"/>
      <x:c r="G34" s="108"/>
      <x:c r="H34" s="108"/>
      <x:c r="I34" s="108"/>
      <x:c r="J34" s="108"/>
      <x:c r="K34" s="108"/>
      <x:c r="L34" s="108"/>
    </x:row>
    <x:row r="35">
      <x:c r="A35" s="108"/>
      <x:c r="B35" s="140"/>
      <x:c r="C35" s="140"/>
      <x:c r="D35" s="140"/>
      <x:c r="E35" s="142"/>
      <x:c r="F35" s="108"/>
      <x:c r="G35" s="108"/>
      <x:c r="H35" s="108"/>
      <x:c r="I35" s="108"/>
      <x:c r="J35" s="108"/>
      <x:c r="K35" s="108"/>
      <x:c r="L35" s="108"/>
    </x:row>
    <x:row r="36">
      <x:c r="A36" s="108"/>
      <x:c r="B36" s="140"/>
      <x:c r="C36" s="140"/>
      <x:c r="D36" s="140"/>
      <x:c r="E36" s="142"/>
      <x:c r="F36" s="108"/>
      <x:c r="G36" s="108"/>
      <x:c r="H36" s="108"/>
      <x:c r="I36" s="108"/>
      <x:c r="J36" s="108"/>
      <x:c r="K36" s="108"/>
      <x:c r="L36" s="108"/>
    </x:row>
    <x:row r="37">
      <x:c r="A37" s="108"/>
      <x:c r="B37" s="140"/>
      <x:c r="C37" s="140"/>
      <x:c r="D37" s="140"/>
      <x:c r="E37" s="142"/>
      <x:c r="F37" s="108"/>
      <x:c r="G37" s="108"/>
      <x:c r="H37" s="108"/>
      <x:c r="I37" s="108"/>
      <x:c r="J37" s="108"/>
      <x:c r="K37" s="108"/>
      <x:c r="L37" s="108"/>
    </x:row>
    <x:row r="38">
      <x:c r="A38" s="108"/>
      <x:c r="B38" s="140"/>
      <x:c r="C38" s="140"/>
      <x:c r="D38" s="140"/>
      <x:c r="E38" s="142"/>
      <x:c r="F38" s="108"/>
      <x:c r="G38" s="108"/>
      <x:c r="H38" s="108"/>
      <x:c r="I38" s="108"/>
      <x:c r="J38" s="108"/>
      <x:c r="K38" s="108"/>
      <x:c r="L38" s="108"/>
    </x:row>
    <x:row r="39">
      <x:c r="A39" s="108"/>
      <x:c r="B39" s="140"/>
      <x:c r="C39" s="140"/>
      <x:c r="D39" s="140"/>
      <x:c r="E39" s="142"/>
      <x:c r="F39" s="108"/>
      <x:c r="G39" s="108"/>
      <x:c r="H39" s="108"/>
      <x:c r="I39" s="108"/>
      <x:c r="J39" s="108"/>
      <x:c r="K39" s="108"/>
      <x:c r="L39" s="108"/>
    </x:row>
    <x:row r="40">
      <x:c r="A40" s="108"/>
      <x:c r="B40" s="140"/>
      <x:c r="C40" s="140"/>
      <x:c r="D40" s="140"/>
      <x:c r="E40" s="142"/>
      <x:c r="F40" s="108"/>
      <x:c r="G40" s="108"/>
      <x:c r="H40" s="108"/>
      <x:c r="I40" s="108"/>
      <x:c r="J40" s="108"/>
      <x:c r="K40" s="108"/>
      <x:c r="L40" s="108"/>
    </x:row>
  </x:sheetData>
  <x:mergeCells>
    <x:mergeCell ref="A1:L1"/>
    <x:mergeCell ref="A2:L2"/>
    <x:mergeCell ref="A9:H9"/>
    <x:mergeCell ref="A11:E11"/>
  </x:mergeCells>
  <x:pageMargins left="0.7" right="0.7" top="0.75" bottom="0.75" header="0.3" footer="0.3"/>
  <x:drawing xmlns:r="http://schemas.openxmlformats.org/officeDocument/2006/relationships" r:id="R345fb8a974aa4ac6"/>
  <x:tableParts count="2">
    <x:tablePart xmlns:r="http://schemas.openxmlformats.org/officeDocument/2006/relationships" r:id="R657415f94e034153"/>
    <x:tablePart xmlns:r="http://schemas.openxmlformats.org/officeDocument/2006/relationships" r:id="R80685f58440d470e"/>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22" hidden="0" customWidth="1"/>
    <x:col min="3" max="3" width="18" hidden="0" customWidth="1"/>
    <x:col min="4" max="4" width="18" hidden="0" customWidth="1"/>
    <x:col min="5" max="5" width="14" hidden="0" customWidth="1"/>
    <x:col min="6" max="6" width="22" hidden="0" customWidth="1"/>
    <x:col min="7" max="7" width="14" hidden="0" customWidth="1"/>
    <x:col min="8" max="8" width="18" hidden="0" customWidth="1"/>
    <x:col min="10" max="10" width="14" hidden="0" customWidth="1"/>
    <x:col min="11" max="11" width="16" hidden="0" customWidth="1"/>
  </x:cols>
  <x:sheetData>
    <x:row r="1" ht="30" customHeight="1">
      <x:c r="A1" s="106" t="str">
        <x:v>Capital Adequacy</x:v>
      </x:c>
      <x:c r="B1" s="106"/>
      <x:c r="C1" s="106"/>
      <x:c r="D1" s="106"/>
      <x:c r="E1" s="106"/>
      <x:c r="F1" s="106"/>
      <x:c r="G1" s="106"/>
      <x:c r="H1" s="106"/>
      <x:c r="I1" s="106"/>
      <x:c r="J1" s="106"/>
      <x:c r="K1" s="106"/>
      <x:c r="L1" s="106"/>
    </x:row>
    <x:row r="2" ht="24" customHeight="1">
      <x:c r="A2" s="107" t="str">
        <x:v>Capital stack, ratios, requirements and headroom after scenario losses | INR crore</x:v>
      </x:c>
      <x:c r="B2" s="107"/>
      <x:c r="C2" s="107"/>
      <x:c r="D2" s="107"/>
      <x:c r="E2" s="107"/>
      <x:c r="F2" s="107"/>
      <x:c r="G2" s="107"/>
      <x:c r="H2" s="107"/>
      <x:c r="I2" s="107"/>
      <x:c r="J2" s="107"/>
      <x:c r="K2" s="107"/>
      <x:c r="L2" s="107"/>
    </x:row>
    <x:row r="3">
      <x:c r="A3" s="108"/>
      <x:c r="B3" s="108"/>
      <x:c r="C3" s="108"/>
      <x:c r="D3" s="108"/>
      <x:c r="E3" s="108"/>
      <x:c r="F3" s="108"/>
      <x:c r="G3" s="108"/>
      <x:c r="H3" s="108"/>
      <x:c r="I3" s="108"/>
      <x:c r="J3" s="108"/>
      <x:c r="K3" s="108"/>
      <x:c r="L3" s="108"/>
    </x:row>
    <x:row r="4" ht="30" customHeight="1">
      <x:c r="A4" s="122" t="str">
        <x:v>Scenario</x:v>
      </x:c>
      <x:c r="B4" s="124" t="str">
        <x:v>Capital Measure</x:v>
      </x:c>
      <x:c r="C4" s="124" t="str">
        <x:v>Capital Amount (INR crore)</x:v>
      </x:c>
      <x:c r="D4" s="124" t="str">
        <x:v>Total Rwa (INR crore)</x:v>
      </x:c>
      <x:c r="E4" s="124" t="str">
        <x:v>Ratio</x:v>
      </x:c>
      <x:c r="F4" s="124" t="str">
        <x:v>Requirement Plus Buffer</x:v>
      </x:c>
      <x:c r="G4" s="124" t="str">
        <x:v>Headroom</x:v>
      </x:c>
      <x:c r="H4" s="123" t="str">
        <x:v>Stress Loss (INR crore)</x:v>
      </x:c>
      <x:c r="I4" s="108"/>
      <x:c r="J4" s="119" t="str">
        <x:v>Scenario</x:v>
      </x:c>
      <x:c r="K4" s="119" t="str">
        <x:v>CET1 Ratio</x:v>
      </x:c>
      <x:c r="L4" s="108"/>
    </x:row>
    <x:row r="5">
      <x:c r="A5" s="125" t="str">
        <x:v>Base</x:v>
      </x:c>
      <x:c r="B5" s="125" t="str">
        <x:v>CET1</x:v>
      </x:c>
      <x:c r="C5" s="127" t="n">
        <x:v>65000</x:v>
      </x:c>
      <x:c r="D5" s="127" t="n">
        <x:v>608349.2328979744</x:v>
      </x:c>
      <x:c r="E5" s="128" t="n">
        <x:v>0.1068465225</x:v>
      </x:c>
      <x:c r="F5" s="128" t="n">
        <x:v>0.07</x:v>
      </x:c>
      <x:c r="G5" s="128" t="n">
        <x:v>0.0368465225</x:v>
      </x:c>
      <x:c r="H5" s="127" t="n">
        <x:v>0</x:v>
      </x:c>
      <x:c r="I5" s="108"/>
      <x:c r="J5" s="156" t="str">
        <x:v>Base</x:v>
      </x:c>
      <x:c r="K5" s="121" t="n">
        <x:f>E5</x:f>
        <x:v>0.1068465225</x:v>
      </x:c>
      <x:c r="L5" s="108"/>
    </x:row>
    <x:row r="6">
      <x:c r="A6" s="130" t="str">
        <x:v>Base</x:v>
      </x:c>
      <x:c r="B6" s="130" t="str">
        <x:v>Tier 1</x:v>
      </x:c>
      <x:c r="C6" s="132" t="n">
        <x:v>71000</x:v>
      </x:c>
      <x:c r="D6" s="132" t="n">
        <x:v>608349.2328979744</x:v>
      </x:c>
      <x:c r="E6" s="133" t="n">
        <x:v>0.1167092784</x:v>
      </x:c>
      <x:c r="F6" s="133" t="n">
        <x:v>0.085</x:v>
      </x:c>
      <x:c r="G6" s="133" t="n">
        <x:v>0.0317092784</x:v>
      </x:c>
      <x:c r="H6" s="132" t="n">
        <x:v>0</x:v>
      </x:c>
      <x:c r="I6" s="108"/>
      <x:c r="J6" s="156" t="str">
        <x:v>Adverse</x:v>
      </x:c>
      <x:c r="K6" s="121" t="n">
        <x:f>E8</x:f>
        <x:v>0.0705336941</x:v>
      </x:c>
      <x:c r="L6" s="108"/>
    </x:row>
    <x:row r="7">
      <x:c r="A7" s="130" t="str">
        <x:v>Base</x:v>
      </x:c>
      <x:c r="B7" s="130" t="str">
        <x:v>Total Capital</x:v>
      </x:c>
      <x:c r="C7" s="132" t="n">
        <x:v>80000</x:v>
      </x:c>
      <x:c r="D7" s="132" t="n">
        <x:v>608349.2328979744</x:v>
      </x:c>
      <x:c r="E7" s="133" t="n">
        <x:v>0.1315034123</x:v>
      </x:c>
      <x:c r="F7" s="133" t="n">
        <x:v>0.105</x:v>
      </x:c>
      <x:c r="G7" s="133" t="n">
        <x:v>0.0265034123</x:v>
      </x:c>
      <x:c r="H7" s="132" t="n">
        <x:v>0</x:v>
      </x:c>
      <x:c r="I7" s="108"/>
      <x:c r="J7" s="156" t="str">
        <x:v>Severe</x:v>
      </x:c>
      <x:c r="K7" s="121" t="n">
        <x:f>E11</x:f>
        <x:v>0.0401329226</x:v>
      </x:c>
      <x:c r="L7" s="108"/>
    </x:row>
    <x:row r="8">
      <x:c r="A8" s="130" t="str">
        <x:v>Adverse</x:v>
      </x:c>
      <x:c r="B8" s="130" t="str">
        <x:v>CET1</x:v>
      </x:c>
      <x:c r="C8" s="132" t="n">
        <x:v>56041.78059876489</x:v>
      </x:c>
      <x:c r="D8" s="132" t="n">
        <x:v>794539.1397440645</x:v>
      </x:c>
      <x:c r="E8" s="133" t="n">
        <x:v>0.0705336941</x:v>
      </x:c>
      <x:c r="F8" s="133" t="n">
        <x:v>0.07</x:v>
      </x:c>
      <x:c r="G8" s="133" t="n">
        <x:v>0.0005336941</x:v>
      </x:c>
      <x:c r="H8" s="132" t="n">
        <x:v>8958.219401235103</x:v>
      </x:c>
      <x:c r="I8" s="108"/>
      <x:c r="J8" s="108"/>
      <x:c r="K8" s="108"/>
      <x:c r="L8" s="108"/>
    </x:row>
    <x:row r="9">
      <x:c r="A9" s="130" t="str">
        <x:v>Adverse</x:v>
      </x:c>
      <x:c r="B9" s="130" t="str">
        <x:v>Tier 1</x:v>
      </x:c>
      <x:c r="C9" s="132" t="n">
        <x:v>62041.78059876489</x:v>
      </x:c>
      <x:c r="D9" s="132" t="n">
        <x:v>794539.1397440645</x:v>
      </x:c>
      <x:c r="E9" s="133" t="n">
        <x:v>0.0780852415</x:v>
      </x:c>
      <x:c r="F9" s="133" t="n">
        <x:v>0.085</x:v>
      </x:c>
      <x:c r="G9" s="133" t="n">
        <x:v>-0.0069147585</x:v>
      </x:c>
      <x:c r="H9" s="132" t="n">
        <x:v>8958.219401235103</x:v>
      </x:c>
      <x:c r="I9" s="108"/>
      <x:c r="J9" s="108"/>
      <x:c r="K9" s="108"/>
      <x:c r="L9" s="108"/>
    </x:row>
    <x:row r="10">
      <x:c r="A10" s="130" t="str">
        <x:v>Adverse</x:v>
      </x:c>
      <x:c r="B10" s="130" t="str">
        <x:v>Total Capital</x:v>
      </x:c>
      <x:c r="C10" s="132" t="n">
        <x:v>71041.78059876489</x:v>
      </x:c>
      <x:c r="D10" s="132" t="n">
        <x:v>794539.1397440645</x:v>
      </x:c>
      <x:c r="E10" s="133" t="n">
        <x:v>0.0894125626</x:v>
      </x:c>
      <x:c r="F10" s="133" t="n">
        <x:v>0.105</x:v>
      </x:c>
      <x:c r="G10" s="133" t="n">
        <x:v>-0.0155874374</x:v>
      </x:c>
      <x:c r="H10" s="132" t="n">
        <x:v>8958.219401235103</x:v>
      </x:c>
      <x:c r="I10" s="108"/>
      <x:c r="J10" s="108"/>
      <x:c r="K10" s="108"/>
      <x:c r="L10" s="108"/>
    </x:row>
    <x:row r="11">
      <x:c r="A11" s="130" t="str">
        <x:v>Severe</x:v>
      </x:c>
      <x:c r="B11" s="130" t="str">
        <x:v>CET1</x:v>
      </x:c>
      <x:c r="C11" s="132" t="n">
        <x:v>40693.78409128645</x:v>
      </x:c>
      <x:c r="D11" s="132" t="n">
        <x:v>1013975.0971355619</x:v>
      </x:c>
      <x:c r="E11" s="133" t="n">
        <x:v>0.0401329226</x:v>
      </x:c>
      <x:c r="F11" s="133" t="n">
        <x:v>0.07</x:v>
      </x:c>
      <x:c r="G11" s="133" t="n">
        <x:v>-0.0298670774</x:v>
      </x:c>
      <x:c r="H11" s="132" t="n">
        <x:v>24306.21590871355</x:v>
      </x:c>
      <x:c r="I11" s="108"/>
      <x:c r="J11" s="108"/>
      <x:c r="K11" s="108"/>
      <x:c r="L11" s="108"/>
    </x:row>
    <x:row r="12">
      <x:c r="A12" s="130" t="str">
        <x:v>Severe</x:v>
      </x:c>
      <x:c r="B12" s="130" t="str">
        <x:v>Tier 1</x:v>
      </x:c>
      <x:c r="C12" s="132" t="n">
        <x:v>46693.78409128645</x:v>
      </x:c>
      <x:c r="D12" s="132" t="n">
        <x:v>1013975.0971355619</x:v>
      </x:c>
      <x:c r="E12" s="133" t="n">
        <x:v>0.0460502277</x:v>
      </x:c>
      <x:c r="F12" s="133" t="n">
        <x:v>0.085</x:v>
      </x:c>
      <x:c r="G12" s="133" t="n">
        <x:v>-0.0389497723</x:v>
      </x:c>
      <x:c r="H12" s="132" t="n">
        <x:v>24306.21590871355</x:v>
      </x:c>
      <x:c r="I12" s="108"/>
      <x:c r="J12" s="108"/>
      <x:c r="K12" s="108"/>
      <x:c r="L12" s="108"/>
    </x:row>
    <x:row r="13">
      <x:c r="A13" s="135" t="str">
        <x:v>Severe</x:v>
      </x:c>
      <x:c r="B13" s="135" t="str">
        <x:v>Total Capital</x:v>
      </x:c>
      <x:c r="C13" s="137" t="n">
        <x:v>55693.78409128645</x:v>
      </x:c>
      <x:c r="D13" s="137" t="n">
        <x:v>1013975.0971355619</x:v>
      </x:c>
      <x:c r="E13" s="136" t="n">
        <x:v>0.0549261853</x:v>
      </x:c>
      <x:c r="F13" s="136" t="n">
        <x:v>0.105</x:v>
      </x:c>
      <x:c r="G13" s="136" t="n">
        <x:v>-0.0500738147</x:v>
      </x:c>
      <x:c r="H13" s="137" t="n">
        <x:v>24306.21590871355</x:v>
      </x:c>
      <x:c r="I13" s="108"/>
      <x:c r="J13" s="108"/>
      <x:c r="K13" s="108"/>
      <x:c r="L13" s="108"/>
    </x:row>
    <x:row r="14">
      <x:c r="A14" s="108"/>
      <x:c r="B14" s="108"/>
      <x:c r="C14" s="140"/>
      <x:c r="D14" s="140"/>
      <x:c r="E14" s="142"/>
      <x:c r="F14" s="142"/>
      <x:c r="G14" s="142"/>
      <x:c r="H14" s="140"/>
      <x:c r="I14" s="108"/>
      <x:c r="J14" s="108"/>
      <x:c r="K14" s="108"/>
      <x:c r="L14" s="108"/>
    </x:row>
    <x:row r="15">
      <x:c r="A15" s="108"/>
      <x:c r="B15" s="108"/>
      <x:c r="C15" s="140"/>
      <x:c r="D15" s="140"/>
      <x:c r="E15" s="142"/>
      <x:c r="F15" s="142"/>
      <x:c r="G15" s="142"/>
      <x:c r="H15" s="140"/>
      <x:c r="I15" s="108"/>
      <x:c r="J15" s="108"/>
      <x:c r="K15" s="108"/>
      <x:c r="L15" s="108"/>
    </x:row>
    <x:row r="16">
      <x:c r="A16" s="108"/>
      <x:c r="B16" s="108"/>
      <x:c r="C16" s="140"/>
      <x:c r="D16" s="140"/>
      <x:c r="E16" s="142"/>
      <x:c r="F16" s="142"/>
      <x:c r="G16" s="142"/>
      <x:c r="H16" s="140"/>
      <x:c r="I16" s="108"/>
      <x:c r="J16" s="108"/>
      <x:c r="K16" s="108"/>
      <x:c r="L16" s="108"/>
    </x:row>
    <x:row r="17">
      <x:c r="A17" s="108"/>
      <x:c r="B17" s="108"/>
      <x:c r="C17" s="140"/>
      <x:c r="D17" s="140"/>
      <x:c r="E17" s="142"/>
      <x:c r="F17" s="142"/>
      <x:c r="G17" s="142"/>
      <x:c r="H17" s="140"/>
      <x:c r="I17" s="108"/>
      <x:c r="J17" s="108"/>
      <x:c r="K17" s="108"/>
      <x:c r="L17" s="108"/>
    </x:row>
    <x:row r="18">
      <x:c r="A18" s="108"/>
      <x:c r="B18" s="108"/>
      <x:c r="C18" s="140"/>
      <x:c r="D18" s="140"/>
      <x:c r="E18" s="142"/>
      <x:c r="F18" s="142"/>
      <x:c r="G18" s="142"/>
      <x:c r="H18" s="140"/>
      <x:c r="I18" s="108"/>
      <x:c r="J18" s="108"/>
      <x:c r="K18" s="108"/>
      <x:c r="L18" s="108"/>
    </x:row>
    <x:row r="19">
      <x:c r="A19" s="108"/>
      <x:c r="B19" s="108"/>
      <x:c r="C19" s="140"/>
      <x:c r="D19" s="140"/>
      <x:c r="E19" s="142"/>
      <x:c r="F19" s="142"/>
      <x:c r="G19" s="142"/>
      <x:c r="H19" s="140"/>
      <x:c r="I19" s="108"/>
      <x:c r="J19" s="108"/>
      <x:c r="K19" s="108"/>
      <x:c r="L19" s="108"/>
    </x:row>
    <x:row r="20">
      <x:c r="A20" s="108"/>
      <x:c r="B20" s="108"/>
      <x:c r="C20" s="140"/>
      <x:c r="D20" s="140"/>
      <x:c r="E20" s="142"/>
      <x:c r="F20" s="142"/>
      <x:c r="G20" s="142"/>
      <x:c r="H20" s="140"/>
      <x:c r="I20" s="108"/>
      <x:c r="J20" s="108"/>
      <x:c r="K20" s="108"/>
      <x:c r="L20" s="108"/>
    </x:row>
  </x:sheetData>
  <x:mergeCells>
    <x:mergeCell ref="A1:L1"/>
    <x:mergeCell ref="A2:L2"/>
  </x:mergeCells>
  <x:conditionalFormatting sqref="G5:G20">
    <x:cfRule type="cellIs" dxfId="0" priority="1" operator="lessThan">
      <x:formula>0</x:formula>
    </x:cfRule>
    <x:cfRule type="cellIs" dxfId="1" priority="2" operator="greaterThanOrEqual">
      <x:formula>0</x:formula>
    </x:cfRule>
  </x:conditionalFormatting>
  <x:pageMargins left="0.7" right="0.7" top="0.75" bottom="0.75" header="0.3" footer="0.3"/>
  <x:drawing xmlns:r="http://schemas.openxmlformats.org/officeDocument/2006/relationships" r:id="Rc9e30dd1ebe546b1"/>
  <x:tableParts count="1">
    <x:tablePart xmlns:r="http://schemas.openxmlformats.org/officeDocument/2006/relationships" r:id="R91acf86c6f684eb5"/>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38" hidden="0" customWidth="1"/>
    <x:col min="2" max="2" width="18" hidden="0" customWidth="1"/>
    <x:col min="3" max="3" width="18" hidden="0" customWidth="1"/>
    <x:col min="4" max="4" width="18" hidden="0" customWidth="1"/>
    <x:col min="5" max="5" width="14" hidden="0" customWidth="1"/>
    <x:col min="6" max="6" width="14" hidden="0" customWidth="1"/>
    <x:col min="7" max="7" width="34" hidden="0" customWidth="1"/>
    <x:col min="10" max="10" width="26" hidden="0" customWidth="1"/>
    <x:col min="11" max="11" width="18" hidden="0" customWidth="1"/>
    <x:col min="12" max="12" width="14" hidden="0" customWidth="1"/>
  </x:cols>
  <x:sheetData>
    <x:row r="1" ht="30" customHeight="1">
      <x:c r="A1" s="106" t="str">
        <x:v>Calculation Reconciliations</x:v>
      </x:c>
      <x:c r="B1" s="106"/>
      <x:c r="C1" s="106"/>
      <x:c r="D1" s="106"/>
      <x:c r="E1" s="106"/>
      <x:c r="F1" s="106"/>
      <x:c r="G1" s="106"/>
      <x:c r="H1" s="106"/>
      <x:c r="I1" s="106"/>
      <x:c r="J1" s="106"/>
      <x:c r="K1" s="106"/>
      <x:c r="L1" s="106"/>
    </x:row>
    <x:row r="2" ht="24" customHeight="1">
      <x:c r="A2" s="107" t="str">
        <x:v>Formula-driven controls tying exposure, RWA, bridge, stress and capital outputs</x:v>
      </x:c>
      <x:c r="B2" s="107"/>
      <x:c r="C2" s="107"/>
      <x:c r="D2" s="107"/>
      <x:c r="E2" s="107"/>
      <x:c r="F2" s="107"/>
      <x:c r="G2" s="107"/>
      <x:c r="H2" s="107"/>
      <x:c r="I2" s="107"/>
      <x:c r="J2" s="107"/>
      <x:c r="K2" s="107"/>
      <x:c r="L2" s="107"/>
    </x:row>
    <x:row r="3" ht="22" customHeight="1">
      <x:c r="A3" s="108"/>
      <x:c r="B3" s="108"/>
      <x:c r="C3" s="108"/>
      <x:c r="D3" s="108"/>
      <x:c r="E3" s="108"/>
      <x:c r="F3" s="108"/>
      <x:c r="G3" s="108"/>
      <x:c r="H3" s="108"/>
      <x:c r="I3" s="108"/>
      <x:c r="J3" s="109" t="str">
        <x:v>Validation source controls</x:v>
      </x:c>
      <x:c r="K3" s="109"/>
      <x:c r="L3" s="109"/>
    </x:row>
    <x:row r="4" ht="28" customHeight="1">
      <x:c r="A4" s="157" t="str">
        <x:v>Control</x:v>
      </x:c>
      <x:c r="B4" s="157" t="str">
        <x:v>Actual</x:v>
      </x:c>
      <x:c r="C4" s="157" t="str">
        <x:v>Expected</x:v>
      </x:c>
      <x:c r="D4" s="157" t="str">
        <x:v>Difference</x:v>
      </x:c>
      <x:c r="E4" s="157" t="str">
        <x:v>Tolerance</x:v>
      </x:c>
      <x:c r="F4" s="157" t="str">
        <x:v>Status</x:v>
      </x:c>
      <x:c r="G4" s="157" t="str">
        <x:v>Notes</x:v>
      </x:c>
      <x:c r="H4" s="108"/>
      <x:c r="I4" s="108"/>
      <x:c r="J4" s="122" t="str">
        <x:v>Control</x:v>
      </x:c>
      <x:c r="K4" s="124" t="str">
        <x:v>Value</x:v>
      </x:c>
      <x:c r="L4" s="123" t="str">
        <x:v>Status</x:v>
      </x:c>
    </x:row>
    <x:row r="5">
      <x:c r="A5" s="158" t="str">
        <x:v>Exposure count equals unique IDs</x:v>
      </x:c>
      <x:c r="B5" s="159" t="n">
        <x:f>K5</x:f>
        <x:v>30000</x:v>
      </x:c>
      <x:c r="C5" s="159" t="n">
        <x:f>K6</x:f>
        <x:v>30000</x:v>
      </x:c>
      <x:c r="D5" s="159" t="n">
        <x:f>B5-C5</x:f>
        <x:v>0</x:v>
      </x:c>
      <x:c r="E5" s="159" t="n">
        <x:v>0</x:v>
      </x:c>
      <x:c r="F5" s="160" t="str">
        <x:f>IF(ABS(D5)&lt;=E5,"PASS","FAIL")</x:f>
        <x:v>PASS</x:v>
      </x:c>
      <x:c r="G5" s="158" t="str">
        <x:v>Synthetic current snapshot</x:v>
      </x:c>
      <x:c r="H5" s="108"/>
      <x:c r="I5" s="108"/>
      <x:c r="J5" s="125" t="str">
        <x:v>Exposure count</x:v>
      </x:c>
      <x:c r="K5" s="126" t="n">
        <x:v>30000</x:v>
      </x:c>
      <x:c r="L5" s="125" t="str">
        <x:v>PASS</x:v>
      </x:c>
    </x:row>
    <x:row r="6">
      <x:c r="A6" s="161" t="str">
        <x:v>EAD aggregates to portfolio total</x:v>
      </x:c>
      <x:c r="B6" s="162" t="n">
        <x:f>SUM('03_SA_RWA'!B5:B14)</x:f>
        <x:v>700735.4648341016</x:v>
      </x:c>
      <x:c r="C6" s="162" t="n">
        <x:f>'02_Portfolio_Profile'!B9</x:f>
        <x:v>700735.4648341014</x:v>
      </x:c>
      <x:c r="D6" s="163" t="n">
        <x:f>B6-C6</x:f>
        <x:v>2.3283064365386963e-10</x:v>
      </x:c>
      <x:c r="E6" s="163" t="n">
        <x:v>0.0001</x:v>
      </x:c>
      <x:c r="F6" s="164" t="str">
        <x:f>IF(ABS(D6)&lt;=E6,"PASS","FAIL")</x:f>
        <x:v>PASS</x:v>
      </x:c>
      <x:c r="G6" s="161" t="str">
        <x:v>Pre-CRM EAD in INR crore</x:v>
      </x:c>
      <x:c r="H6" s="108"/>
      <x:c r="I6" s="108"/>
      <x:c r="J6" s="130" t="str">
        <x:v>Unique exposure IDs</x:v>
      </x:c>
      <x:c r="K6" s="131" t="n">
        <x:v>30000</x:v>
      </x:c>
      <x:c r="L6" s="130" t="str">
        <x:v>PASS</x:v>
      </x:c>
    </x:row>
    <x:row r="7">
      <x:c r="A7" s="161" t="str">
        <x:v>SA exposure RWA equals portfolio SA RWA</x:v>
      </x:c>
      <x:c r="B7" s="162" t="n">
        <x:f>SUM('03_SA_RWA'!D5:D14)</x:f>
        <x:v>405323.3594307159</x:v>
      </x:c>
      <x:c r="C7" s="162" t="n">
        <x:f>'02_Portfolio_Profile'!B10</x:f>
        <x:v>405323.35943071585</x:v>
      </x:c>
      <x:c r="D7" s="163" t="n">
        <x:f>B7-C7</x:f>
        <x:v>5.820766091346741e-11</x:v>
      </x:c>
      <x:c r="E7" s="163" t="n">
        <x:v>0.0001</x:v>
      </x:c>
      <x:c r="F7" s="164" t="str">
        <x:f>IF(ABS(D7)&lt;=E7,"PASS","FAIL")</x:f>
        <x:v>PASS</x:v>
      </x:c>
      <x:c r="G7" s="161" t="str">
        <x:v>Exposure-to-portfolio tie in INR crore</x:v>
      </x:c>
      <x:c r="H7" s="108"/>
      <x:c r="I7" s="108"/>
      <x:c r="J7" s="130" t="str">
        <x:v>Exception count</x:v>
      </x:c>
      <x:c r="K7" s="131" t="n">
        <x:v>0</x:v>
      </x:c>
      <x:c r="L7" s="130" t="str">
        <x:v>PASS</x:v>
      </x:c>
    </x:row>
    <x:row r="8">
      <x:c r="A8" s="161" t="str">
        <x:v>IRB exposure RWA equals portfolio IRB RWA</x:v>
      </x:c>
      <x:c r="B8" s="162" t="n">
        <x:f>SUM('04_IRB_RWA'!F5:F14)</x:f>
        <x:v>583349.2328979743</x:v>
      </x:c>
      <x:c r="C8" s="162" t="n">
        <x:f>'02_Portfolio_Profile'!B11</x:f>
        <x:v>583349.2328979744</x:v>
      </x:c>
      <x:c r="D8" s="163" t="n">
        <x:f>B8-C8</x:f>
        <x:v>-1.1641532182693481e-10</x:v>
      </x:c>
      <x:c r="E8" s="163" t="n">
        <x:v>0.0001</x:v>
      </x:c>
      <x:c r="F8" s="164" t="str">
        <x:f>IF(ABS(D8)&lt;=E8,"PASS","FAIL")</x:f>
        <x:v>PASS</x:v>
      </x:c>
      <x:c r="G8" s="161" t="str">
        <x:v>Exposure-to-portfolio tie in INR crore</x:v>
      </x:c>
      <x:c r="H8" s="108"/>
      <x:c r="I8" s="108"/>
      <x:c r="J8" s="130" t="str">
        <x:v>Gross balance</x:v>
      </x:c>
      <x:c r="K8" s="132" t="n">
        <x:v>558161.9862245091</x:v>
      </x:c>
      <x:c r="L8" s="130" t="str">
        <x:v>PASS</x:v>
      </x:c>
    </x:row>
    <x:row r="9">
      <x:c r="A9" s="161" t="str">
        <x:v>Prior RWA plus drivers equals current RWA</x:v>
      </x:c>
      <x:c r="B9" s="162" t="n">
        <x:f>'07_RWA_Bridge'!B5+SUM('07_RWA_Bridge'!B6:B13)</x:f>
        <x:v>583349.2328979746</x:v>
      </x:c>
      <x:c r="C9" s="162" t="n">
        <x:f>'07_RWA_Bridge'!B14</x:f>
        <x:v>583349.2328979744</x:v>
      </x:c>
      <x:c r="D9" s="163" t="n">
        <x:f>B9-C9</x:f>
        <x:v>1.1641532182693481e-10</x:v>
      </x:c>
      <x:c r="E9" s="163" t="n">
        <x:v>0.0001</x:v>
      </x:c>
      <x:c r="F9" s="164" t="str">
        <x:f>IF(ABS(D9)&lt;=E9,"PASS","FAIL")</x:f>
        <x:v>PASS</x:v>
      </x:c>
      <x:c r="G9" s="161" t="str">
        <x:v>Residual remains visible</x:v>
      </x:c>
      <x:c r="H9" s="108"/>
      <x:c r="I9" s="108"/>
      <x:c r="J9" s="135" t="str">
        <x:v>Undrawn amount</x:v>
      </x:c>
      <x:c r="K9" s="137" t="n">
        <x:v>348131.18875714944</x:v>
      </x:c>
      <x:c r="L9" s="135" t="str">
        <x:v>PASS</x:v>
      </x:c>
    </x:row>
    <x:row r="10">
      <x:c r="A10" s="161" t="str">
        <x:v>Base capital Total RWA equals scenario final RWA</x:v>
      </x:c>
      <x:c r="B10" s="162" t="n">
        <x:f>'09_Capital_Adequacy'!D5</x:f>
        <x:v>608349.2328979744</x:v>
      </x:c>
      <x:c r="C10" s="162" t="n">
        <x:f>'08_Stress_Test'!F5</x:f>
        <x:v>608349.2328979744</x:v>
      </x:c>
      <x:c r="D10" s="163" t="n">
        <x:f>B10-C10</x:f>
        <x:v>0</x:v>
      </x:c>
      <x:c r="E10" s="163" t="n">
        <x:v>0.0001</x:v>
      </x:c>
      <x:c r="F10" s="164" t="str">
        <x:f>IF(ABS(D10)&lt;=E10,"PASS","FAIL")</x:f>
        <x:v>PASS</x:v>
      </x:c>
      <x:c r="G10" s="161" t="str">
        <x:v>Aggregate floor-aware denominator</x:v>
      </x:c>
      <x:c r="H10" s="108"/>
      <x:c r="I10" s="108"/>
      <x:c r="J10" s="108"/>
      <x:c r="K10" s="108"/>
      <x:c r="L10" s="108"/>
    </x:row>
    <x:row r="11">
      <x:c r="A11" s="165" t="str">
        <x:v>Capital ratio identity</x:v>
      </x:c>
      <x:c r="B11" s="166" t="n">
        <x:f>'09_Capital_Adequacy'!E5</x:f>
        <x:v>0.1068465225</x:v>
      </x:c>
      <x:c r="C11" s="166" t="n">
        <x:f>'09_Capital_Adequacy'!C5/'09_Capital_Adequacy'!D5</x:f>
        <x:v>0.10684652249886387</x:v>
      </x:c>
      <x:c r="D11" s="166" t="n">
        <x:f>B11-C11</x:f>
        <x:v>1.1361328544623461e-12</x:v>
      </x:c>
      <x:c r="E11" s="166" t="n">
        <x:v>1e-7</x:v>
      </x:c>
      <x:c r="F11" s="167" t="str">
        <x:f>IF(ABS(D11)&lt;=E11,"PASS","FAIL")</x:f>
        <x:v>PASS</x:v>
      </x:c>
      <x:c r="G11" s="165" t="str">
        <x:v>CET1 divided by Total RWA</x:v>
      </x:c>
      <x:c r="H11" s="108"/>
      <x:c r="I11" s="108"/>
      <x:c r="J11" s="108"/>
      <x:c r="K11" s="108"/>
      <x:c r="L11" s="108"/>
    </x:row>
    <x:row r="12">
      <x:c r="A12" s="108"/>
      <x:c r="B12" s="108"/>
      <x:c r="C12" s="108"/>
      <x:c r="D12" s="108"/>
      <x:c r="E12" s="108"/>
      <x:c r="F12" s="108"/>
      <x:c r="G12" s="108"/>
      <x:c r="H12" s="108"/>
      <x:c r="I12" s="108"/>
      <x:c r="J12" s="108"/>
      <x:c r="K12" s="108"/>
      <x:c r="L12" s="108"/>
    </x:row>
    <x:row r="13">
      <x:c r="A13" s="108"/>
      <x:c r="B13" s="108"/>
      <x:c r="C13" s="108"/>
      <x:c r="D13" s="108"/>
      <x:c r="E13" s="108"/>
      <x:c r="F13" s="108"/>
      <x:c r="G13" s="108"/>
      <x:c r="H13" s="108"/>
      <x:c r="I13" s="108"/>
      <x:c r="J13" s="108"/>
      <x:c r="K13" s="108"/>
      <x:c r="L13" s="108"/>
    </x:row>
    <x:row r="14" ht="22" customHeight="1">
      <x:c r="A14" s="109" t="str">
        <x:v>Overall model status</x:v>
      </x:c>
      <x:c r="B14" s="109"/>
      <x:c r="C14" s="109"/>
      <x:c r="D14" s="109"/>
      <x:c r="E14" s="109"/>
      <x:c r="F14" s="109"/>
      <x:c r="G14" s="109"/>
      <x:c r="H14" s="108"/>
      <x:c r="I14" s="108"/>
      <x:c r="J14" s="108"/>
      <x:c r="K14" s="108"/>
      <x:c r="L14" s="108"/>
    </x:row>
    <x:row r="15">
      <x:c r="A15" s="108" t="str">
        <x:v>Status</x:v>
      </x:c>
      <x:c r="B15" s="168" t="str">
        <x:f>IF(COUNTIF(F5:F11,"FAIL")=0,"OK","REVIEW")</x:f>
        <x:v>OK</x:v>
      </x:c>
      <x:c r="C15" s="108"/>
      <x:c r="D15" s="108"/>
      <x:c r="E15" s="108"/>
      <x:c r="F15" s="108"/>
      <x:c r="G15" s="108"/>
      <x:c r="H15" s="108"/>
      <x:c r="I15" s="108"/>
      <x:c r="J15" s="108"/>
      <x:c r="K15" s="108"/>
      <x:c r="L15" s="108"/>
    </x:row>
  </x:sheetData>
  <x:mergeCells>
    <x:mergeCell ref="A1:L1"/>
    <x:mergeCell ref="A2:L2"/>
    <x:mergeCell ref="J3:L3"/>
    <x:mergeCell ref="A14:G14"/>
  </x:mergeCells>
  <x:conditionalFormatting sqref="F5:F11">
    <x:cfRule type="containsText" dxfId="2" priority="1" operator="containsText" text="PASS"/>
    <x:cfRule type="containsText" dxfId="3" priority="2" operator="containsText" text="FAIL"/>
  </x:conditionalFormatting>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4" hidden="0" customWidth="1"/>
    <x:col min="2" max="2" width="48" hidden="0" customWidth="1"/>
    <x:col min="3" max="3" width="74" hidden="0" customWidth="1"/>
    <x:col min="4" max="4" width="22" hidden="0" customWidth="1"/>
  </x:cols>
  <x:sheetData>
    <x:row r="1" ht="30" customHeight="1">
      <x:c r="A1" s="106" t="str">
        <x:v>Methodology and Regulatory Sources</x:v>
      </x:c>
      <x:c r="B1" s="106"/>
      <x:c r="C1" s="106"/>
      <x:c r="D1" s="106"/>
      <x:c r="E1" s="106"/>
      <x:c r="F1" s="106"/>
      <x:c r="G1" s="106"/>
      <x:c r="H1" s="106"/>
      <x:c r="I1" s="106"/>
      <x:c r="J1" s="106"/>
      <x:c r="K1" s="106"/>
      <x:c r="L1" s="106"/>
    </x:row>
    <x:row r="2" ht="24" customHeight="1">
      <x:c r="A2" s="107" t="str">
        <x:v>Plain-language scope, equations, selected assumptions and source lineage</x:v>
      </x:c>
      <x:c r="B2" s="107"/>
      <x:c r="C2" s="107"/>
      <x:c r="D2" s="107"/>
      <x:c r="E2" s="107"/>
      <x:c r="F2" s="107"/>
      <x:c r="G2" s="107"/>
      <x:c r="H2" s="107"/>
      <x:c r="I2" s="107"/>
      <x:c r="J2" s="107"/>
      <x:c r="K2" s="107"/>
      <x:c r="L2" s="107"/>
    </x:row>
    <x:row r="3">
      <x:c r="A3" s="108"/>
      <x:c r="B3" s="108"/>
      <x:c r="C3" s="108"/>
      <x:c r="D3" s="108"/>
      <x:c r="E3" s="108"/>
      <x:c r="F3" s="108"/>
      <x:c r="G3" s="108"/>
      <x:c r="H3" s="108"/>
      <x:c r="I3" s="108"/>
      <x:c r="J3" s="108"/>
      <x:c r="K3" s="108"/>
      <x:c r="L3" s="108"/>
    </x:row>
    <x:row r="4">
      <x:c r="A4" s="119" t="str">
        <x:v>Concept</x:v>
      </x:c>
      <x:c r="B4" s="119" t="str">
        <x:v>Calculation</x:v>
      </x:c>
      <x:c r="C4" s="119" t="str">
        <x:v>Interpretation</x:v>
      </x:c>
      <x:c r="D4" s="108"/>
      <x:c r="E4" s="108"/>
      <x:c r="F4" s="108"/>
      <x:c r="G4" s="108"/>
      <x:c r="H4" s="108"/>
      <x:c r="I4" s="108"/>
      <x:c r="J4" s="108"/>
      <x:c r="K4" s="108"/>
      <x:c r="L4" s="108"/>
    </x:row>
    <x:row r="5">
      <x:c r="A5" s="169" t="str">
        <x:v>EAD and CCF</x:v>
      </x:c>
      <x:c r="B5" s="169" t="str">
        <x:v>Outstanding amount + CCF by commitment type × undrawn amount</x:v>
      </x:c>
      <x:c r="C5" s="169" t="str">
        <x:v>The CCF estimates how much unused credit may be drawn before default.</x:v>
      </x:c>
      <x:c r="D5" s="108"/>
      <x:c r="E5" s="108"/>
      <x:c r="F5" s="108"/>
      <x:c r="G5" s="108"/>
      <x:c r="H5" s="108"/>
      <x:c r="I5" s="108"/>
      <x:c r="J5" s="108"/>
      <x:c r="K5" s="108"/>
      <x:c r="L5" s="108"/>
    </x:row>
    <x:row r="6">
      <x:c r="A6" s="170" t="str">
        <x:v>Mortgage LTV</x:v>
      </x:c>
      <x:c r="B6" s="170" t="str">
        <x:v>(Outstanding + committed undrawn amount) ÷ prudent property value</x:v>
      </x:c>
      <x:c r="C6" s="170" t="str">
        <x:v>LTV selects the mortgage risk weight; it does not replace EAD.</x:v>
      </x:c>
      <x:c r="D6" s="108"/>
      <x:c r="E6" s="108"/>
      <x:c r="F6" s="108"/>
      <x:c r="G6" s="108"/>
      <x:c r="H6" s="108"/>
      <x:c r="I6" s="108"/>
      <x:c r="J6" s="108"/>
      <x:c r="K6" s="108"/>
      <x:c r="L6" s="108"/>
    </x:row>
    <x:row r="7">
      <x:c r="A7" s="170" t="str">
        <x:v>Standardised Approach</x:v>
      </x:c>
      <x:c r="B7" s="170" t="str">
        <x:v>Loan RWA = post-CRM EAD × the risk weight for its Basel exposure class</x:v>
      </x:c>
      <x:c r="C7" s="170" t="str">
        <x:v>Loan results are added to obtain total SA Credit RWA.</x:v>
      </x:c>
      <x:c r="D7" s="108"/>
      <x:c r="E7" s="108"/>
      <x:c r="F7" s="108"/>
      <x:c r="G7" s="108"/>
      <x:c r="H7" s="108"/>
      <x:c r="I7" s="108"/>
      <x:c r="J7" s="108"/>
      <x:c r="K7" s="108"/>
      <x:c r="L7" s="108"/>
    </x:row>
    <x:row r="8">
      <x:c r="A8" s="170" t="str">
        <x:v>Long-run PD</x:v>
      </x:c>
      <x:c r="B8" s="170" t="str">
        <x:v>Synthetic one-year transition tables assign a default rate to each class and internal grade</x:v>
      </x:c>
      <x:c r="C8" s="170" t="str">
        <x:v>The tables demonstrate calibration logic; they are not observed bank history.</x:v>
      </x:c>
      <x:c r="D8" s="108"/>
      <x:c r="E8" s="108"/>
      <x:c r="F8" s="108"/>
      <x:c r="G8" s="108"/>
      <x:c r="H8" s="108"/>
      <x:c r="I8" s="108"/>
      <x:c r="J8" s="108"/>
      <x:c r="K8" s="108"/>
      <x:c r="L8" s="108"/>
    </x:row>
    <x:row r="9">
      <x:c r="A9" s="170" t="str">
        <x:v>Downturn LGD</x:v>
      </x:c>
      <x:c r="B9" s="170" t="str">
        <x:v>Discounted recovery after costs under weaker collateral and slower recovery assumptions</x:v>
      </x:c>
      <x:c r="C9" s="170" t="str">
        <x:v>The downturn estimate is used in the IRB capital calculation.</x:v>
      </x:c>
      <x:c r="D9" s="108"/>
      <x:c r="E9" s="108"/>
      <x:c r="F9" s="108"/>
      <x:c r="G9" s="108"/>
      <x:c r="H9" s="108"/>
      <x:c r="I9" s="108"/>
      <x:c r="J9" s="108"/>
      <x:c r="K9" s="108"/>
      <x:c r="L9" s="108"/>
    </x:row>
    <x:row r="10">
      <x:c r="A10" s="170" t="str">
        <x:v>Market RWA</x:v>
      </x:c>
      <x:c r="B10" s="170" t="str">
        <x:v>12.5 × applicable market-risk capital requirement</x:v>
      </x:c>
      <x:c r="C10" s="170" t="str">
        <x:v>INR 11,000 crore is a synthetic configured input; a bank would calculate the capital requirement from its market-risk positions.</x:v>
      </x:c>
      <x:c r="D10" s="108"/>
      <x:c r="E10" s="108"/>
      <x:c r="F10" s="108"/>
      <x:c r="G10" s="108"/>
      <x:c r="H10" s="108"/>
      <x:c r="I10" s="108"/>
      <x:c r="J10" s="108"/>
      <x:c r="K10" s="108"/>
      <x:c r="L10" s="108"/>
    </x:row>
    <x:row r="11">
      <x:c r="A11" s="170" t="str">
        <x:v>Operational RWA</x:v>
      </x:c>
      <x:c r="B11" s="170" t="str">
        <x:v>12.5 × Business Indicator Component × Internal Loss Multiplier</x:v>
      </x:c>
      <x:c r="C11" s="170" t="str">
        <x:v>INR 14,000 crore is a synthetic configured input; a bank would use financial-statement and operational-loss data.</x:v>
      </x:c>
      <x:c r="D11" s="108"/>
      <x:c r="E11" s="108"/>
      <x:c r="F11" s="108"/>
      <x:c r="G11" s="108"/>
      <x:c r="H11" s="108"/>
      <x:c r="I11" s="108"/>
      <x:c r="J11" s="108"/>
      <x:c r="K11" s="108"/>
      <x:c r="L11" s="108"/>
    </x:row>
    <x:row r="12">
      <x:c r="A12" s="170" t="str">
        <x:v>Expected loss</x:v>
      </x:c>
      <x:c r="B12" s="170" t="str">
        <x:v>EL = PD × LGD × EAD</x:v>
      </x:c>
      <x:c r="C12" s="170" t="str">
        <x:v>Expected loss is reported separately from unexpected-loss capital.</x:v>
      </x:c>
      <x:c r="D12" s="108"/>
      <x:c r="E12" s="108"/>
      <x:c r="F12" s="108"/>
      <x:c r="G12" s="108"/>
      <x:c r="H12" s="108"/>
      <x:c r="I12" s="108"/>
      <x:c r="J12" s="108"/>
      <x:c r="K12" s="108"/>
      <x:c r="L12" s="108"/>
    </x:row>
    <x:row r="13">
      <x:c r="A13" s="170" t="str">
        <x:v>IRB capital</x:v>
      </x:c>
      <x:c r="B13" s="170" t="str">
        <x:v>Conditional PD at 99.9% → K → IRB RWA = 12.5 × K × EAD</x:v>
      </x:c>
      <x:c r="C13" s="170" t="str">
        <x:v>Correlation and maturity treatment follow the applicable corporate or retail function.</x:v>
      </x:c>
      <x:c r="D13" s="108"/>
      <x:c r="E13" s="108"/>
      <x:c r="F13" s="108"/>
      <x:c r="G13" s="108"/>
      <x:c r="H13" s="108"/>
      <x:c r="I13" s="108"/>
      <x:c r="J13" s="108"/>
      <x:c r="K13" s="108"/>
      <x:c r="L13" s="108"/>
    </x:row>
    <x:row r="14">
      <x:c r="A14" s="170" t="str">
        <x:v>Output floor</x:v>
      </x:c>
      <x:c r="B14" s="170" t="str">
        <x:v>Final aggregate RWA is the higher of model RWA and the configured percentage of standardised aggregate RWA</x:v>
      </x:c>
      <x:c r="C14" s="170" t="str">
        <x:v>The floor is applied at bank aggregate level.</x:v>
      </x:c>
      <x:c r="D14" s="108"/>
      <x:c r="E14" s="108"/>
      <x:c r="F14" s="108"/>
      <x:c r="G14" s="108"/>
      <x:c r="H14" s="108"/>
      <x:c r="I14" s="108"/>
      <x:c r="J14" s="108"/>
      <x:c r="K14" s="108"/>
      <x:c r="L14" s="108"/>
    </x:row>
    <x:row r="15">
      <x:c r="A15" s="170" t="str">
        <x:v>Concentration</x:v>
      </x:c>
      <x:c r="B15" s="170" t="str">
        <x:v>HHI = sum of squared exposure shares</x:v>
      </x:c>
      <x:c r="C15" s="170" t="str">
        <x:v>Concentration is an analyst monitoring layer, not a separate Pillar 1 model here.</x:v>
      </x:c>
      <x:c r="D15" s="108"/>
      <x:c r="E15" s="108"/>
      <x:c r="F15" s="108"/>
      <x:c r="G15" s="108"/>
      <x:c r="H15" s="108"/>
      <x:c r="I15" s="108"/>
      <x:c r="J15" s="108"/>
      <x:c r="K15" s="108"/>
      <x:c r="L15" s="108"/>
    </x:row>
    <x:row r="16">
      <x:c r="A16" s="171" t="str">
        <x:v>Stress loss</x:v>
      </x:c>
      <x:c r="B16" s="171" t="str">
        <x:v>Scenario loss rate multiplied by relevant exposure</x:v>
      </x:c>
      <x:c r="C16" s="171" t="str">
        <x:v>Simplified stress-testing capital proxy; not IFRS 9 ECL.</x:v>
      </x:c>
      <x:c r="D16" s="108"/>
      <x:c r="E16" s="108"/>
      <x:c r="F16" s="108"/>
      <x:c r="G16" s="108"/>
      <x:c r="H16" s="108"/>
      <x:c r="I16" s="108"/>
      <x:c r="J16" s="108"/>
      <x:c r="K16" s="108"/>
      <x:c r="L16" s="108"/>
    </x:row>
    <x:row r="17" ht="22" customHeight="1">
      <x:c r="A17" s="109" t="str">
        <x:v>Official conceptual reference set</x:v>
      </x:c>
      <x:c r="B17" s="109"/>
      <x:c r="C17" s="109"/>
      <x:c r="D17" s="109"/>
      <x:c r="E17" s="108"/>
      <x:c r="F17" s="108"/>
      <x:c r="G17" s="108"/>
      <x:c r="H17" s="108"/>
      <x:c r="I17" s="108"/>
      <x:c r="J17" s="108"/>
      <x:c r="K17" s="108"/>
      <x:c r="L17" s="108"/>
    </x:row>
    <x:row r="18">
      <x:c r="A18" s="119" t="str">
        <x:v>Source ID</x:v>
      </x:c>
      <x:c r="B18" s="119" t="str">
        <x:v>Use</x:v>
      </x:c>
      <x:c r="C18" s="119" t="str">
        <x:v>URL</x:v>
      </x:c>
      <x:c r="D18" s="119" t="str">
        <x:v>Note</x:v>
      </x:c>
      <x:c r="E18" s="108"/>
      <x:c r="F18" s="108"/>
      <x:c r="G18" s="108"/>
      <x:c r="H18" s="108"/>
      <x:c r="I18" s="108"/>
      <x:c r="J18" s="108"/>
      <x:c r="K18" s="108"/>
      <x:c r="L18" s="108"/>
    </x:row>
    <x:row r="19">
      <x:c r="A19" s="169" t="str">
        <x:v>RBC20</x:v>
      </x:c>
      <x:c r="B19" s="169" t="str">
        <x:v>Minimum capital ratios, RWA aggregation and output floor</x:v>
      </x:c>
      <x:c r="C19" s="169" t="str">
        <x:v>https://www.bis.org/basel_framework/chapter/RBC/20.htm</x:v>
      </x:c>
      <x:c r="D19" s="169" t="str">
        <x:v>Accessed 2026-08-22</x:v>
      </x:c>
      <x:c r="E19" s="108"/>
      <x:c r="F19" s="108"/>
      <x:c r="G19" s="108"/>
      <x:c r="H19" s="108"/>
      <x:c r="I19" s="108"/>
      <x:c r="J19" s="108"/>
      <x:c r="K19" s="108"/>
      <x:c r="L19" s="108"/>
    </x:row>
    <x:row r="20">
      <x:c r="A20" s="170" t="str">
        <x:v>RBC90</x:v>
      </x:c>
      <x:c r="B20" s="170" t="str">
        <x:v>Output-floor transitional calibration</x:v>
      </x:c>
      <x:c r="C20" s="170" t="str">
        <x:v>https://www.bis.org/basel_framework/chapter/RBC/90.htm</x:v>
      </x:c>
      <x:c r="D20" s="170" t="str">
        <x:v>Accessed 2026-08-22</x:v>
      </x:c>
      <x:c r="E20" s="108"/>
      <x:c r="F20" s="108"/>
      <x:c r="G20" s="108"/>
      <x:c r="H20" s="108"/>
      <x:c r="I20" s="108"/>
      <x:c r="J20" s="108"/>
      <x:c r="K20" s="108"/>
      <x:c r="L20" s="108"/>
    </x:row>
    <x:row r="21">
      <x:c r="A21" s="170" t="str">
        <x:v>CRE20</x:v>
      </x:c>
      <x:c r="B21" s="170" t="str">
        <x:v>SA classes, retail/SME eligibility and CCFs</x:v>
      </x:c>
      <x:c r="C21" s="170" t="str">
        <x:v>https://www.bis.org/committees/bcbs/basel-framework/standard/cre/20/inforce/2023-01-01/published/2020-11-26</x:v>
      </x:c>
      <x:c r="D21" s="170" t="str">
        <x:v>Accessed 2026-08-31; 20.47, 20.65–68, 20.95–100</x:v>
      </x:c>
      <x:c r="E21" s="108"/>
      <x:c r="F21" s="108"/>
      <x:c r="G21" s="108"/>
      <x:c r="H21" s="108"/>
      <x:c r="I21" s="108"/>
      <x:c r="J21" s="108"/>
      <x:c r="K21" s="108"/>
      <x:c r="L21" s="108"/>
    </x:row>
    <x:row r="22">
      <x:c r="A22" s="170" t="str">
        <x:v>CRE21</x:v>
      </x:c>
      <x:c r="B22" s="170" t="str">
        <x:v>Use of external ratings</x:v>
      </x:c>
      <x:c r="C22" s="170" t="str">
        <x:v>https://www.bis.org/basel_framework/chapter/CRE/21.htm</x:v>
      </x:c>
      <x:c r="D22" s="170" t="str">
        <x:v>Accessed 2026-08-22</x:v>
      </x:c>
      <x:c r="E22" s="108"/>
      <x:c r="F22" s="108"/>
      <x:c r="G22" s="108"/>
      <x:c r="H22" s="108"/>
      <x:c r="I22" s="108"/>
      <x:c r="J22" s="108"/>
      <x:c r="K22" s="108"/>
      <x:c r="L22" s="108"/>
    </x:row>
    <x:row r="23">
      <x:c r="A23" s="170" t="str">
        <x:v>CRE22</x:v>
      </x:c>
      <x:c r="B23" s="170" t="str">
        <x:v>Credit risk mitigation</x:v>
      </x:c>
      <x:c r="C23" s="170" t="str">
        <x:v>https://www.bis.org/basel_framework/chapter/CRE/22.htm</x:v>
      </x:c>
      <x:c r="D23" s="170" t="str">
        <x:v>Accessed 2026-08-22</x:v>
      </x:c>
      <x:c r="E23" s="108"/>
      <x:c r="F23" s="108"/>
      <x:c r="G23" s="108"/>
      <x:c r="H23" s="108"/>
      <x:c r="I23" s="108"/>
      <x:c r="J23" s="108"/>
      <x:c r="K23" s="108"/>
      <x:c r="L23" s="108"/>
    </x:row>
    <x:row r="24">
      <x:c r="A24" s="170" t="str">
        <x:v>CRE30</x:v>
      </x:c>
      <x:c r="B24" s="170" t="str">
        <x:v>IRB classes and restrictions</x:v>
      </x:c>
      <x:c r="C24" s="170" t="str">
        <x:v>https://www.bis.org/basel_framework/chapter/CRE/30.htm</x:v>
      </x:c>
      <x:c r="D24" s="170" t="str">
        <x:v>Accessed 2026-08-22</x:v>
      </x:c>
      <x:c r="E24" s="108"/>
      <x:c r="F24" s="108"/>
      <x:c r="G24" s="108"/>
      <x:c r="H24" s="108"/>
      <x:c r="I24" s="108"/>
      <x:c r="J24" s="108"/>
      <x:c r="K24" s="108"/>
      <x:c r="L24" s="108"/>
    </x:row>
    <x:row r="25">
      <x:c r="A25" s="170" t="str">
        <x:v>CRE31</x:v>
      </x:c>
      <x:c r="B25" s="170" t="str">
        <x:v>IRB risk-weight functions</x:v>
      </x:c>
      <x:c r="C25" s="170" t="str">
        <x:v>https://www.bis.org/basel_framework/chapter/CRE/31.htm</x:v>
      </x:c>
      <x:c r="D25" s="170" t="str">
        <x:v>Accessed 2026-08-22</x:v>
      </x:c>
      <x:c r="E25" s="108"/>
      <x:c r="F25" s="108"/>
      <x:c r="G25" s="108"/>
      <x:c r="H25" s="108"/>
      <x:c r="I25" s="108"/>
      <x:c r="J25" s="108"/>
      <x:c r="K25" s="108"/>
      <x:c r="L25" s="108"/>
    </x:row>
    <x:row r="26">
      <x:c r="A26" s="170" t="str">
        <x:v>CRE32</x:v>
      </x:c>
      <x:c r="B26" s="170" t="str">
        <x:v>Foundation LGD, floors, EAD and maturity</x:v>
      </x:c>
      <x:c r="C26" s="170" t="str">
        <x:v>https://www.bis.org/committees/bcbs/basel-framework/standard/cre/32/inforce/2023-01-01/published/2020-03-27</x:v>
      </x:c>
      <x:c r="D26" s="170" t="str">
        <x:v>Accessed 2026-08-31; 32.6, 32.10–11, 32.16, 32.36, 32.44–48, 32.58</x:v>
      </x:c>
      <x:c r="E26" s="108"/>
      <x:c r="F26" s="108"/>
      <x:c r="G26" s="108"/>
      <x:c r="H26" s="108"/>
      <x:c r="I26" s="108"/>
      <x:c r="J26" s="108"/>
      <x:c r="K26" s="108"/>
      <x:c r="L26" s="108"/>
    </x:row>
    <x:row r="27">
      <x:c r="A27" s="170" t="str">
        <x:v>CRE36</x:v>
      </x:c>
      <x:c r="B27" s="170" t="str">
        <x:v>IRB estimation and stress requirements</x:v>
      </x:c>
      <x:c r="C27" s="170" t="str">
        <x:v>https://www.bis.org/basel_framework/chapter/CRE/36.htm</x:v>
      </x:c>
      <x:c r="D27" s="170" t="str">
        <x:v>Accessed 2026-08-22</x:v>
      </x:c>
      <x:c r="E27" s="108"/>
      <x:c r="F27" s="108"/>
      <x:c r="G27" s="108"/>
      <x:c r="H27" s="108"/>
      <x:c r="I27" s="108"/>
      <x:c r="J27" s="108"/>
      <x:c r="K27" s="108"/>
      <x:c r="L27" s="108"/>
    </x:row>
    <x:row r="28">
      <x:c r="A28" s="170" t="str">
        <x:v>MAR20</x:v>
      </x:c>
      <x:c r="B28" s="170" t="str">
        <x:v>Market-risk capital and RWA</x:v>
      </x:c>
      <x:c r="C28" s="170" t="str">
        <x:v>https://www.bis.org/basel_framework/chapter/MAR/20.htm</x:v>
      </x:c>
      <x:c r="D28" s="170" t="str">
        <x:v>Accessed 2026-08-23</x:v>
      </x:c>
      <x:c r="E28" s="108"/>
      <x:c r="F28" s="108"/>
      <x:c r="G28" s="108"/>
      <x:c r="H28" s="108"/>
      <x:c r="I28" s="108"/>
      <x:c r="J28" s="108"/>
      <x:c r="K28" s="108"/>
      <x:c r="L28" s="108"/>
    </x:row>
    <x:row r="29">
      <x:c r="A29" s="171" t="str">
        <x:v>OPE10</x:v>
      </x:c>
      <x:c r="B29" s="171" t="str">
        <x:v>Operational-risk definitions</x:v>
      </x:c>
      <x:c r="C29" s="171" t="str">
        <x:v>https://www.bis.org/basel_framework/chapter/OPE/10.htm</x:v>
      </x:c>
      <x:c r="D29" s="171" t="str">
        <x:v>Accessed 2026-08-23</x:v>
      </x:c>
      <x:c r="E29" s="108"/>
      <x:c r="F29" s="108"/>
      <x:c r="G29" s="108"/>
      <x:c r="H29" s="108"/>
      <x:c r="I29" s="108"/>
      <x:c r="J29" s="108"/>
      <x:c r="K29" s="108"/>
      <x:c r="L29" s="108"/>
    </x:row>
    <x:row r="30">
      <x:c r="A30" s="176" t="str">
        <x:v>OPE25</x:v>
      </x:c>
      <x:c r="B30" s="176" t="str">
        <x:v>Operational-risk Standardised Approach</x:v>
      </x:c>
      <x:c r="C30" s="176" t="str">
        <x:v>https://www.bis.org/basel_framework/chapter/OPE/25.htm</x:v>
      </x:c>
      <x:c r="D30" s="176" t="str">
        <x:v>Accessed 2026-08-23</x:v>
      </x:c>
      <x:c r="E30" s="108"/>
      <x:c r="F30" s="108"/>
      <x:c r="G30" s="108"/>
      <x:c r="H30" s="108"/>
      <x:c r="I30" s="108"/>
      <x:c r="J30" s="108"/>
      <x:c r="K30" s="108"/>
      <x:c r="L30" s="108"/>
    </x:row>
    <x:row r="31">
      <x:c r="A31" s="176" t="str">
        <x:v>BCBS Stress</x:v>
      </x:c>
      <x:c r="B31" s="176" t="str">
        <x:v>Stress-testing principles</x:v>
      </x:c>
      <x:c r="C31" s="176" t="str">
        <x:v>https://www.bis.org/bcbs/publ/d450.htm</x:v>
      </x:c>
      <x:c r="D31" s="176" t="str">
        <x:v>Accessed 2026-08-23</x:v>
      </x:c>
      <x:c r="E31" s="108"/>
      <x:c r="F31" s="108"/>
      <x:c r="G31" s="108"/>
      <x:c r="H31" s="108"/>
      <x:c r="I31" s="108"/>
      <x:c r="J31" s="108"/>
      <x:c r="K31" s="108"/>
      <x:c r="L31" s="108"/>
    </x:row>
    <x:row r="32" ht="22" customHeight="1">
      <x:c r="A32" s="180" t="str">
        <x:v>DIS40</x:v>
      </x:c>
      <x:c r="B32" s="180" t="str">
        <x:v>Credit-risk disclosure concepts</x:v>
      </x:c>
      <x:c r="C32" s="180" t="str">
        <x:v>https://www.bis.org/basel_framework/chapter/DIS/40.htm</x:v>
      </x:c>
      <x:c r="D32" s="181" t="str">
        <x:v>Accessed 2026-08-22</x:v>
      </x:c>
      <x:c r="E32" s="108"/>
      <x:c r="F32" s="108"/>
      <x:c r="G32" s="108"/>
      <x:c r="H32" s="108"/>
      <x:c r="I32" s="108"/>
      <x:c r="J32" s="108"/>
      <x:c r="K32" s="108"/>
      <x:c r="L32" s="108"/>
    </x:row>
    <x:row r="33" ht="28" customHeight="1">
      <x:c r="A33" s="172"/>
      <x:c r="B33" s="172"/>
      <x:c r="C33" s="172"/>
      <x:c r="D33" s="108"/>
      <x:c r="E33" s="108"/>
      <x:c r="F33" s="108"/>
      <x:c r="G33" s="108"/>
      <x:c r="H33" s="108"/>
      <x:c r="I33" s="108"/>
      <x:c r="J33" s="108"/>
      <x:c r="K33" s="108"/>
      <x:c r="L33" s="108"/>
    </x:row>
    <x:row r="34" ht="28" customHeight="1">
      <x:c r="A34" s="183" t="str">
        <x:v>Key limitations</x:v>
      </x:c>
      <x:c r="B34" s="183" t="str">
        <x:v>Key limitations</x:v>
      </x:c>
      <x:c r="C34" s="183" t="str">
        <x:v>Key limitations</x:v>
      </x:c>
      <x:c r="D34" s="108"/>
      <x:c r="E34" s="108"/>
      <x:c r="F34" s="108"/>
      <x:c r="G34" s="108"/>
      <x:c r="H34" s="108"/>
      <x:c r="I34" s="108"/>
      <x:c r="J34" s="108"/>
      <x:c r="K34" s="108"/>
      <x:c r="L34" s="108"/>
    </x:row>
    <x:row r="35" ht="28" customHeight="1">
      <x:c r="A35" s="172" t="str">
        <x:v>All data and model parameters are synthetic.</x:v>
      </x:c>
      <x:c r="B35" s="172"/>
      <x:c r="C35" s="172"/>
      <x:c r="D35" s="108"/>
      <x:c r="E35" s="108"/>
      <x:c r="F35" s="108"/>
      <x:c r="G35" s="108"/>
      <x:c r="H35" s="108"/>
      <x:c r="I35" s="108"/>
      <x:c r="J35" s="108"/>
      <x:c r="K35" s="108"/>
      <x:c r="L35" s="108"/>
    </x:row>
    <x:row r="36" ht="28" customHeight="1">
      <x:c r="A36" s="172" t="str">
        <x:v>IRB mixes foundation and own-estimate routes and does not imply supervisory approval.</x:v>
      </x:c>
      <x:c r="B36" s="172"/>
      <x:c r="C36" s="172"/>
      <x:c r="D36" s="108"/>
      <x:c r="E36" s="108"/>
      <x:c r="F36" s="108"/>
      <x:c r="G36" s="108"/>
      <x:c r="H36" s="108"/>
      <x:c r="I36" s="108"/>
      <x:c r="J36" s="108"/>
      <x:c r="K36" s="108"/>
      <x:c r="L36" s="108"/>
    </x:row>
    <x:row r="37" ht="28" customHeight="1">
      <x:c r="A37" s="172" t="str">
        <x:v>SA guarantee recognition is simplified; guarantees are not recognised in the project IRB calculation.</x:v>
      </x:c>
      <x:c r="B37" s="172"/>
      <x:c r="C37" s="172"/>
      <x:c r="D37" s="108"/>
      <x:c r="E37" s="108"/>
      <x:c r="F37" s="108"/>
      <x:c r="G37" s="108"/>
      <x:c r="H37" s="108"/>
      <x:c r="I37" s="108"/>
      <x:c r="J37" s="108"/>
      <x:c r="K37" s="108"/>
      <x:c r="L37" s="108"/>
    </x:row>
    <x:row r="38">
      <x:c r="A38" s="184" t="str">
        <x:v>Market and Operational RWA are synthetic configured inputs; their calculation routes are shown above.</x:v>
      </x:c>
      <x:c r="B38" s="184"/>
      <x:c r="C38" s="184"/>
    </x:row>
    <x:row r="39">
      <x:c r="A39" s="184" t="str">
        <x:v>CCR, CVA, securitisation, FRTB and full defaulted-exposure treatments are outside scope.</x:v>
      </x:c>
      <x:c r="B39" s="184"/>
      <x:c r="C39" s="184"/>
    </x:row>
  </x:sheetData>
  <x:mergeCells>
    <x:mergeCell ref="A1:L1"/>
    <x:mergeCell ref="A2:L2"/>
    <x:mergeCell ref="A17:D17"/>
    <x:mergeCell ref="A33:C33"/>
    <x:mergeCell ref="A34:C34"/>
    <x:mergeCell ref="A35:C35"/>
    <x:mergeCell ref="A36:C36"/>
    <x:mergeCell ref="A37:C37"/>
    <x:mergeCell ref="A38:C38"/>
    <x:mergeCell ref="A39:C39"/>
  </x:mergeCells>
  <x:pageMargins left="0.7" right="0.7" top="0.75" bottom="0.75" header="0.3" footer="0.3"/>
</x:worksheet>
</file>